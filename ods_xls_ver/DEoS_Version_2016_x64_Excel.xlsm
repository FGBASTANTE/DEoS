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uario\SynologyDrive\articulos\Modelo_detonacion\FINAL_REVISADO\DEoS_Model\"/>
    </mc:Choice>
  </mc:AlternateContent>
  <bookViews>
    <workbookView xWindow="0" yWindow="0" windowWidth="25600" windowHeight="10070"/>
  </bookViews>
  <sheets>
    <sheet name="LICENSE" sheetId="5" r:id="rId1"/>
    <sheet name="DEoS" sheetId="1" r:id="rId2"/>
    <sheet name="example_HMX" sheetId="2" r:id="rId3"/>
  </sheets>
  <functionGroups builtInGroupCount="18"/>
  <definedNames>
    <definedName name="_xlnm._FilterDatabase" localSheetId="1" hidden="1">DEoS!$B$7:$AB$31</definedName>
    <definedName name="a_w">{12.0111,1.0079,14.0067,15.9994}</definedName>
    <definedName name="c_i">{18,75,123,112,43,72}</definedName>
    <definedName name="g_o">1.23</definedName>
    <definedName name="H_f">{10,-57.8,-94.05}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1" l="1"/>
  <c r="I16" i="1"/>
  <c r="C16" i="1"/>
  <c r="K16" i="1"/>
  <c r="L16" i="1"/>
  <c r="M16" i="1"/>
  <c r="N16" i="1"/>
  <c r="O16" i="1"/>
  <c r="P16" i="1"/>
  <c r="R16" i="1"/>
  <c r="S16" i="1"/>
  <c r="U16" i="1"/>
  <c r="V16" i="1"/>
  <c r="W16" i="1"/>
  <c r="X16" i="1"/>
  <c r="Y16" i="1"/>
  <c r="Z16" i="1"/>
  <c r="J16" i="1"/>
  <c r="E16" i="1"/>
  <c r="G16" i="1"/>
  <c r="H16" i="1"/>
  <c r="K17" i="1"/>
  <c r="AC19" i="1" l="1"/>
  <c r="K18" i="1"/>
  <c r="AC18" i="1"/>
  <c r="K19" i="1"/>
  <c r="K20" i="1"/>
  <c r="AC20" i="1"/>
  <c r="K21" i="1"/>
  <c r="K22" i="1"/>
  <c r="K23" i="1"/>
  <c r="K24" i="1"/>
  <c r="K25" i="1"/>
  <c r="K26" i="1"/>
  <c r="K27" i="1"/>
  <c r="AC27" i="1"/>
  <c r="K28" i="1"/>
  <c r="AC28" i="1"/>
  <c r="K29" i="1"/>
  <c r="AC29" i="1"/>
  <c r="K30" i="1"/>
  <c r="AC30" i="1"/>
  <c r="K31" i="1"/>
  <c r="AC31" i="1"/>
  <c r="J22" i="1"/>
  <c r="Z18" i="1"/>
  <c r="W27" i="1"/>
  <c r="V25" i="1"/>
  <c r="U31" i="1"/>
  <c r="V20" i="1"/>
  <c r="Y29" i="1"/>
  <c r="J31" i="1"/>
  <c r="Y26" i="1"/>
  <c r="X21" i="1"/>
  <c r="Z26" i="1"/>
  <c r="J30" i="1"/>
  <c r="V31" i="1"/>
  <c r="Y27" i="1"/>
  <c r="X18" i="1"/>
  <c r="V29" i="1"/>
  <c r="V21" i="1"/>
  <c r="X23" i="1"/>
  <c r="V19" i="1"/>
  <c r="W18" i="1"/>
  <c r="J27" i="1"/>
  <c r="Z27" i="1"/>
  <c r="Y25" i="1"/>
  <c r="U26" i="1"/>
  <c r="Z20" i="1"/>
  <c r="Z24" i="1"/>
  <c r="Y31" i="1"/>
  <c r="J24" i="1"/>
  <c r="U22" i="1"/>
  <c r="U27" i="1"/>
  <c r="Y24" i="1"/>
  <c r="Z25" i="1"/>
  <c r="X28" i="1"/>
  <c r="Y19" i="1"/>
  <c r="Z29" i="1"/>
  <c r="J29" i="1"/>
  <c r="W26" i="1"/>
  <c r="W22" i="1"/>
  <c r="Z31" i="1"/>
  <c r="V18" i="1"/>
  <c r="V22" i="1"/>
  <c r="U19" i="1"/>
  <c r="Z22" i="1"/>
  <c r="X24" i="1"/>
  <c r="U29" i="1"/>
  <c r="V30" i="1"/>
  <c r="X30" i="1"/>
  <c r="W30" i="1"/>
  <c r="Z19" i="1"/>
  <c r="J26" i="1"/>
  <c r="X25" i="1"/>
  <c r="V27" i="1"/>
  <c r="W25" i="1"/>
  <c r="U24" i="1"/>
  <c r="J21" i="1"/>
  <c r="W23" i="1"/>
  <c r="Z23" i="1"/>
  <c r="X19" i="1"/>
  <c r="J23" i="1"/>
  <c r="J25" i="1"/>
  <c r="J18" i="1"/>
  <c r="U30" i="1"/>
  <c r="U21" i="1"/>
  <c r="Y20" i="1"/>
  <c r="X26" i="1"/>
  <c r="Z30" i="1"/>
  <c r="W29" i="1"/>
  <c r="J28" i="1"/>
  <c r="U20" i="1"/>
  <c r="Y21" i="1"/>
  <c r="Z28" i="1"/>
  <c r="X29" i="1"/>
  <c r="J20" i="1"/>
  <c r="Y22" i="1"/>
  <c r="Z21" i="1"/>
  <c r="U25" i="1"/>
  <c r="V23" i="1"/>
  <c r="V24" i="1"/>
  <c r="W20" i="1"/>
  <c r="V26" i="1"/>
  <c r="J19" i="1"/>
  <c r="W31" i="1"/>
  <c r="V28" i="1"/>
  <c r="U23" i="1"/>
  <c r="Y28" i="1"/>
  <c r="X31" i="1"/>
  <c r="W19" i="1"/>
  <c r="W28" i="1"/>
  <c r="Y23" i="1"/>
  <c r="Y18" i="1"/>
  <c r="X22" i="1"/>
  <c r="X20" i="1"/>
  <c r="U18" i="1"/>
  <c r="Y30" i="1"/>
  <c r="W21" i="1"/>
  <c r="U28" i="1"/>
  <c r="X27" i="1"/>
  <c r="W24" i="1"/>
  <c r="AC21" i="1" l="1"/>
  <c r="O31" i="1"/>
  <c r="S31" i="1" s="1"/>
  <c r="T31" i="1" s="1"/>
  <c r="O30" i="1"/>
  <c r="S30" i="1" s="1"/>
  <c r="T30" i="1" s="1"/>
  <c r="O29" i="1"/>
  <c r="S29" i="1" s="1"/>
  <c r="T29" i="1" s="1"/>
  <c r="O28" i="1"/>
  <c r="S28" i="1" s="1"/>
  <c r="T28" i="1" s="1"/>
  <c r="O27" i="1"/>
  <c r="S27" i="1" s="1"/>
  <c r="T27" i="1" s="1"/>
  <c r="O26" i="1"/>
  <c r="S26" i="1" s="1"/>
  <c r="T26" i="1" s="1"/>
  <c r="O25" i="1"/>
  <c r="S25" i="1" s="1"/>
  <c r="T25" i="1" s="1"/>
  <c r="O24" i="1"/>
  <c r="S24" i="1" s="1"/>
  <c r="T24" i="1" s="1"/>
  <c r="O23" i="1"/>
  <c r="S23" i="1" s="1"/>
  <c r="T23" i="1" s="1"/>
  <c r="O22" i="1"/>
  <c r="S22" i="1" s="1"/>
  <c r="T22" i="1" s="1"/>
  <c r="O21" i="1"/>
  <c r="S21" i="1" s="1"/>
  <c r="T21" i="1" s="1"/>
  <c r="O20" i="1"/>
  <c r="S20" i="1" s="1"/>
  <c r="T20" i="1" s="1"/>
  <c r="O19" i="1"/>
  <c r="S19" i="1" s="1"/>
  <c r="T19" i="1" s="1"/>
  <c r="O18" i="1"/>
  <c r="S18" i="1" s="1"/>
  <c r="T18" i="1" s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AC22" i="1" l="1"/>
  <c r="L27" i="1"/>
  <c r="AB27" i="1" s="1"/>
  <c r="L28" i="1"/>
  <c r="AB28" i="1" s="1"/>
  <c r="L30" i="1"/>
  <c r="AB30" i="1" s="1"/>
  <c r="L29" i="1"/>
  <c r="AB29" i="1" s="1"/>
  <c r="L31" i="1"/>
  <c r="AB31" i="1" s="1"/>
  <c r="L23" i="1"/>
  <c r="L18" i="1"/>
  <c r="L19" i="1"/>
  <c r="L20" i="1"/>
  <c r="L21" i="1"/>
  <c r="L22" i="1"/>
  <c r="AB23" i="1" l="1"/>
  <c r="AB18" i="1"/>
  <c r="AB22" i="1"/>
  <c r="AB20" i="1"/>
  <c r="AB21" i="1"/>
  <c r="AB19" i="1"/>
  <c r="AC23" i="1"/>
  <c r="AA22" i="1"/>
  <c r="N22" i="1" s="1"/>
  <c r="AA18" i="1"/>
  <c r="AA29" i="1"/>
  <c r="N29" i="1" s="1"/>
  <c r="AA21" i="1"/>
  <c r="AA23" i="1"/>
  <c r="AA28" i="1"/>
  <c r="N28" i="1" s="1"/>
  <c r="M28" i="1" s="1"/>
  <c r="AA20" i="1"/>
  <c r="N20" i="1" s="1"/>
  <c r="AA31" i="1"/>
  <c r="N31" i="1" s="1"/>
  <c r="AA30" i="1"/>
  <c r="N30" i="1" s="1"/>
  <c r="AA27" i="1"/>
  <c r="N27" i="1" s="1"/>
  <c r="AA19" i="1"/>
  <c r="N19" i="1" l="1"/>
  <c r="N23" i="1"/>
  <c r="M23" i="1" s="1"/>
  <c r="N21" i="1"/>
  <c r="N18" i="1"/>
  <c r="M18" i="1" s="1"/>
  <c r="M19" i="1"/>
  <c r="AC24" i="1"/>
  <c r="L24" i="1"/>
  <c r="AB24" i="1" s="1"/>
  <c r="P27" i="1"/>
  <c r="Q27" i="1"/>
  <c r="M27" i="1"/>
  <c r="P29" i="1"/>
  <c r="Q29" i="1"/>
  <c r="M29" i="1"/>
  <c r="P21" i="1"/>
  <c r="Q21" i="1"/>
  <c r="M21" i="1"/>
  <c r="P22" i="1"/>
  <c r="Q22" i="1"/>
  <c r="M22" i="1"/>
  <c r="P30" i="1"/>
  <c r="Q30" i="1"/>
  <c r="M30" i="1"/>
  <c r="P31" i="1"/>
  <c r="Q31" i="1"/>
  <c r="P20" i="1"/>
  <c r="Q20" i="1"/>
  <c r="M31" i="1"/>
  <c r="M20" i="1"/>
  <c r="P28" i="1"/>
  <c r="Q28" i="1"/>
  <c r="P19" i="1"/>
  <c r="Q19" i="1"/>
  <c r="Q23" i="1" l="1"/>
  <c r="P23" i="1"/>
  <c r="Q18" i="1"/>
  <c r="P18" i="1"/>
  <c r="AA24" i="1"/>
  <c r="AC25" i="1"/>
  <c r="L25" i="1"/>
  <c r="N24" i="1"/>
  <c r="M24" i="1" l="1"/>
  <c r="P24" i="1"/>
  <c r="Q24" i="1"/>
  <c r="AC26" i="1"/>
  <c r="L26" i="1"/>
  <c r="AB25" i="1"/>
  <c r="AA25" i="1"/>
  <c r="N25" i="1" l="1"/>
  <c r="M25" i="1" s="1"/>
  <c r="AB26" i="1"/>
  <c r="AA26" i="1"/>
  <c r="Q25" i="1" l="1"/>
  <c r="P25" i="1"/>
  <c r="N26" i="1"/>
  <c r="P26" i="1" s="1"/>
  <c r="Q26" i="1"/>
  <c r="M26" i="1"/>
  <c r="AC9" i="1" l="1"/>
  <c r="W10" i="1"/>
  <c r="Z10" i="1"/>
  <c r="V10" i="1"/>
  <c r="J9" i="1"/>
  <c r="Y10" i="1"/>
  <c r="U10" i="1"/>
  <c r="X10" i="1"/>
  <c r="AC16" i="1" l="1"/>
  <c r="K10" i="1"/>
  <c r="O10" i="1" s="1"/>
  <c r="S10" i="1" s="1"/>
  <c r="T10" i="1" s="1"/>
  <c r="K9" i="1"/>
  <c r="K11" i="1"/>
  <c r="AC17" i="1"/>
  <c r="AC13" i="1"/>
  <c r="J12" i="1"/>
  <c r="J10" i="1"/>
  <c r="Z13" i="1"/>
  <c r="U15" i="1"/>
  <c r="V15" i="1"/>
  <c r="X15" i="1"/>
  <c r="Y15" i="1"/>
  <c r="W12" i="1"/>
  <c r="W17" i="1"/>
  <c r="Y13" i="1"/>
  <c r="J14" i="1"/>
  <c r="X17" i="1"/>
  <c r="Y11" i="1"/>
  <c r="V17" i="1"/>
  <c r="V13" i="1"/>
  <c r="X12" i="1"/>
  <c r="U11" i="1"/>
  <c r="Y12" i="1"/>
  <c r="U12" i="1"/>
  <c r="Z11" i="1"/>
  <c r="Z14" i="1"/>
  <c r="X14" i="1"/>
  <c r="X11" i="1"/>
  <c r="Y14" i="1"/>
  <c r="Z12" i="1"/>
  <c r="J13" i="1"/>
  <c r="W14" i="1"/>
  <c r="U17" i="1"/>
  <c r="W11" i="1"/>
  <c r="Z15" i="1"/>
  <c r="J11" i="1"/>
  <c r="U14" i="1"/>
  <c r="W13" i="1"/>
  <c r="X13" i="1"/>
  <c r="V11" i="1"/>
  <c r="U13" i="1"/>
  <c r="Z17" i="1"/>
  <c r="J15" i="1"/>
  <c r="Y17" i="1"/>
  <c r="V12" i="1"/>
  <c r="V14" i="1"/>
  <c r="W15" i="1"/>
  <c r="J17" i="1"/>
  <c r="R11" i="1" l="1"/>
  <c r="R10" i="1"/>
  <c r="L10" i="1" s="1"/>
  <c r="AC12" i="1"/>
  <c r="AC14" i="1"/>
  <c r="AC15" i="1"/>
  <c r="AC11" i="1"/>
  <c r="AC10" i="1"/>
  <c r="K12" i="1"/>
  <c r="O12" i="1" s="1"/>
  <c r="S12" i="1" s="1"/>
  <c r="T12" i="1" s="1"/>
  <c r="K15" i="1"/>
  <c r="R15" i="1" s="1"/>
  <c r="O11" i="1"/>
  <c r="S11" i="1" s="1"/>
  <c r="T11" i="1" s="1"/>
  <c r="K13" i="1"/>
  <c r="O13" i="1" s="1"/>
  <c r="S13" i="1" s="1"/>
  <c r="O17" i="1"/>
  <c r="S17" i="1" s="1"/>
  <c r="K14" i="1"/>
  <c r="O14" i="1" s="1"/>
  <c r="S14" i="1" s="1"/>
  <c r="O15" i="1" l="1"/>
  <c r="S15" i="1" s="1"/>
  <c r="T15" i="1" s="1"/>
  <c r="R12" i="1"/>
  <c r="L12" i="1" s="1"/>
  <c r="AA12" i="1" s="1"/>
  <c r="R13" i="1"/>
  <c r="L13" i="1" s="1"/>
  <c r="AB13" i="1" s="1"/>
  <c r="R14" i="1"/>
  <c r="L14" i="1" s="1"/>
  <c r="AB14" i="1" s="1"/>
  <c r="R17" i="1"/>
  <c r="L17" i="1" s="1"/>
  <c r="AB17" i="1" s="1"/>
  <c r="AB10" i="1"/>
  <c r="L11" i="1"/>
  <c r="AB11" i="1" s="1"/>
  <c r="T14" i="1"/>
  <c r="T13" i="1"/>
  <c r="T17" i="1"/>
  <c r="AB16" i="1"/>
  <c r="AA10" i="1"/>
  <c r="AA16" i="1"/>
  <c r="AA11" i="1" l="1"/>
  <c r="N11" i="1" s="1"/>
  <c r="Q11" i="1" s="1"/>
  <c r="L15" i="1"/>
  <c r="AB12" i="1"/>
  <c r="N12" i="1" s="1"/>
  <c r="M12" i="1" s="1"/>
  <c r="N10" i="1"/>
  <c r="P10" i="1" s="1"/>
  <c r="AA13" i="1"/>
  <c r="N13" i="1" s="1"/>
  <c r="M13" i="1" s="1"/>
  <c r="AA14" i="1"/>
  <c r="N14" i="1" s="1"/>
  <c r="AA17" i="1"/>
  <c r="N17" i="1" s="1"/>
  <c r="P17" i="1" s="1"/>
  <c r="Q10" i="1" l="1"/>
  <c r="M10" i="1"/>
  <c r="AB15" i="1"/>
  <c r="AA15" i="1"/>
  <c r="M14" i="1"/>
  <c r="P14" i="1"/>
  <c r="Q12" i="1"/>
  <c r="P12" i="1"/>
  <c r="Q14" i="1"/>
  <c r="P11" i="1"/>
  <c r="M11" i="1"/>
  <c r="Q13" i="1"/>
  <c r="M17" i="1"/>
  <c r="Q17" i="1"/>
  <c r="P13" i="1"/>
  <c r="N15" i="1" l="1"/>
  <c r="Q15" i="1" s="1"/>
  <c r="M15" i="1" l="1"/>
  <c r="P15" i="1"/>
  <c r="X9" i="1"/>
  <c r="W9" i="1"/>
  <c r="U9" i="1"/>
  <c r="Y9" i="1"/>
  <c r="V9" i="1"/>
  <c r="Z9" i="1"/>
  <c r="R9" i="1" l="1"/>
  <c r="O9" i="1"/>
  <c r="S9" i="1" s="1"/>
  <c r="T9" i="1" s="1"/>
  <c r="L9" i="1" l="1"/>
  <c r="AB9" i="1" l="1"/>
  <c r="AA9" i="1"/>
  <c r="N9" i="1" s="1"/>
  <c r="M9" i="1" s="1"/>
  <c r="Q9" i="1" l="1"/>
  <c r="P9" i="1"/>
</calcChain>
</file>

<file path=xl/sharedStrings.xml><?xml version="1.0" encoding="utf-8"?>
<sst xmlns="http://schemas.openxmlformats.org/spreadsheetml/2006/main" count="72" uniqueCount="65">
  <si>
    <t>C</t>
  </si>
  <si>
    <t>H</t>
  </si>
  <si>
    <t>N</t>
  </si>
  <si>
    <t>O</t>
  </si>
  <si>
    <t>H2O</t>
  </si>
  <si>
    <t>CO2</t>
  </si>
  <si>
    <t>N2</t>
  </si>
  <si>
    <t>H2</t>
  </si>
  <si>
    <t>O2</t>
  </si>
  <si>
    <t>mw (g/mol)</t>
  </si>
  <si>
    <t>[Cl+F+P+Si] as inerts</t>
  </si>
  <si>
    <t>Name</t>
  </si>
  <si>
    <t>Type</t>
  </si>
  <si>
    <t>density (g/cc)</t>
  </si>
  <si>
    <t>CHNO Composition (mol)</t>
  </si>
  <si>
    <t>others [Cl+F+P+Si]</t>
  </si>
  <si>
    <t>% weight</t>
  </si>
  <si>
    <t>hierarchy</t>
  </si>
  <si>
    <t>Do (m/s)</t>
  </si>
  <si>
    <r>
      <t>w (m/s per kg/m</t>
    </r>
    <r>
      <rPr>
        <b/>
        <vertAlign val="superscript"/>
        <sz val="11"/>
        <color rgb="FFFA7D00"/>
        <rFont val="Calibri"/>
        <family val="2"/>
        <scheme val="minor"/>
      </rPr>
      <t>3</t>
    </r>
    <r>
      <rPr>
        <b/>
        <sz val="11"/>
        <color rgb="FFFA7D00"/>
        <rFont val="Calibri"/>
        <family val="2"/>
        <scheme val="minor"/>
      </rPr>
      <t>)</t>
    </r>
  </si>
  <si>
    <t>P (kbar)</t>
  </si>
  <si>
    <t>D (m/s)</t>
  </si>
  <si>
    <t>γ</t>
  </si>
  <si>
    <t>Jones and Grüneisen parameters</t>
  </si>
  <si>
    <t>no</t>
  </si>
  <si>
    <r>
      <t>(D</t>
    </r>
    <r>
      <rPr>
        <b/>
        <vertAlign val="subscript"/>
        <sz val="11"/>
        <color rgb="FFFA7D00"/>
        <rFont val="Calibri"/>
        <family val="2"/>
        <scheme val="minor"/>
      </rPr>
      <t>Q</t>
    </r>
    <r>
      <rPr>
        <b/>
        <sz val="11"/>
        <color rgb="FFFA7D00"/>
        <rFont val="Calibri"/>
        <family val="2"/>
        <scheme val="minor"/>
      </rPr>
      <t xml:space="preserve"> (m/s per cal/g)</t>
    </r>
  </si>
  <si>
    <t xml:space="preserve"> Please fill out the required fields below as shown on the examples</t>
  </si>
  <si>
    <t>examples</t>
  </si>
  <si>
    <t>… or hmx (mol per mol)</t>
  </si>
  <si>
    <t>hmx (mol per 100 grammes)</t>
  </si>
  <si>
    <t>btf  (mol per 100 grammes)</t>
  </si>
  <si>
    <t>tatb (mol per mol)</t>
  </si>
  <si>
    <t>LX-17 (…)</t>
  </si>
  <si>
    <t>PBX9502  (mol per 100 grammes)</t>
  </si>
  <si>
    <t>HMX</t>
  </si>
  <si>
    <t>continue below…</t>
  </si>
  <si>
    <r>
      <t>ΔH</t>
    </r>
    <r>
      <rPr>
        <b/>
        <i/>
        <vertAlign val="superscript"/>
        <sz val="12"/>
        <color theme="1"/>
        <rFont val="Calibri"/>
        <family val="2"/>
      </rPr>
      <t>o</t>
    </r>
    <r>
      <rPr>
        <b/>
        <i/>
        <vertAlign val="subscript"/>
        <sz val="12"/>
        <color theme="1"/>
        <rFont val="Calibri"/>
        <family val="2"/>
      </rPr>
      <t xml:space="preserve">298 </t>
    </r>
    <r>
      <rPr>
        <b/>
        <i/>
        <sz val="12"/>
        <color theme="1"/>
        <rFont val="Calibri"/>
        <family val="2"/>
      </rPr>
      <t>(cal/g)</t>
    </r>
  </si>
  <si>
    <t>CINTECX, GESSMin group, University of Vigo</t>
  </si>
  <si>
    <t>MIT License</t>
  </si>
  <si>
    <t>Copyright (c) 2022 FGBASTANTE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</si>
  <si>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</si>
  <si>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</si>
  <si>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</si>
  <si>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</si>
  <si>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</si>
  <si>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</si>
  <si>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</si>
  <si>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</si>
  <si>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</si>
  <si>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</si>
  <si>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</si>
  <si>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</si>
  <si>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OUT OF OR IN CONNECTION WITH THE SOFTWARE OR THE USE OR OTHER DEALINGS IN THE</t>
  </si>
  <si>
    <t>SOFTWARE.</t>
  </si>
  <si>
    <t>Some experimental data</t>
  </si>
  <si>
    <r>
      <t>For details of the model</t>
    </r>
    <r>
      <rPr>
        <sz val="12"/>
        <color rgb="FF4D5156"/>
        <rFont val="Arial"/>
        <family val="2"/>
      </rPr>
      <t> see:</t>
    </r>
  </si>
  <si>
    <t>PREDICTIVE MODEL FOR EXPLOSIVE DETONATION PARAMETERS FROM AN EQUATION OF STATE BASED ON DETONATION VELOCITY. Physical Chemistry Chemical Physics 2022</t>
  </si>
  <si>
    <r>
      <t>Fernando G. Bastante</t>
    </r>
    <r>
      <rPr>
        <i/>
        <vertAlign val="superscript"/>
        <sz val="12"/>
        <color theme="1"/>
        <rFont val="Calibri"/>
        <family val="2"/>
        <scheme val="minor"/>
      </rPr>
      <t>1</t>
    </r>
    <r>
      <rPr>
        <i/>
        <sz val="12"/>
        <color theme="1"/>
        <rFont val="Calibri"/>
        <family val="2"/>
        <scheme val="minor"/>
      </rPr>
      <t>, María Araújo Fernández</t>
    </r>
    <r>
      <rPr>
        <i/>
        <vertAlign val="superscript"/>
        <sz val="12"/>
        <color theme="1"/>
        <rFont val="Calibri"/>
        <family val="2"/>
        <scheme val="minor"/>
      </rPr>
      <t>1</t>
    </r>
    <r>
      <rPr>
        <i/>
        <sz val="12"/>
        <color theme="1"/>
        <rFont val="Calibri"/>
        <family val="2"/>
        <scheme val="minor"/>
      </rPr>
      <t>, Eduardo Giráldez</t>
    </r>
    <r>
      <rPr>
        <i/>
        <vertAlign val="superscript"/>
        <sz val="12"/>
        <color theme="1"/>
        <rFont val="Calibri"/>
        <family val="2"/>
        <scheme val="minor"/>
      </rPr>
      <t>1</t>
    </r>
    <r>
      <rPr>
        <i/>
        <sz val="12"/>
        <color theme="1"/>
        <rFont val="Calibri"/>
        <family val="2"/>
        <scheme val="minor"/>
      </rPr>
      <t xml:space="preserve">. </t>
    </r>
  </si>
  <si>
    <r>
      <t>ΔH</t>
    </r>
    <r>
      <rPr>
        <b/>
        <i/>
        <vertAlign val="superscript"/>
        <sz val="11"/>
        <color theme="0"/>
        <rFont val="Calibri"/>
        <family val="2"/>
        <scheme val="minor"/>
      </rPr>
      <t>o</t>
    </r>
    <r>
      <rPr>
        <b/>
        <i/>
        <sz val="11"/>
        <color theme="0"/>
        <rFont val="Calibri"/>
        <family val="2"/>
        <scheme val="minor"/>
      </rPr>
      <t>298 (cal/g)</t>
    </r>
  </si>
  <si>
    <r>
      <t>(D</t>
    </r>
    <r>
      <rPr>
        <b/>
        <i/>
        <vertAlign val="subscript"/>
        <sz val="11"/>
        <color theme="0"/>
        <rFont val="Calibri"/>
        <family val="2"/>
        <scheme val="minor"/>
      </rPr>
      <t>Q</t>
    </r>
    <r>
      <rPr>
        <b/>
        <i/>
        <sz val="11"/>
        <color theme="0"/>
        <rFont val="Calibri"/>
        <family val="2"/>
        <scheme val="minor"/>
      </rPr>
      <t xml:space="preserve"> (m/s per cal/g)</t>
    </r>
  </si>
  <si>
    <t>fITNESS FOR A PARTICULAR PURPOSE AND NONINFRINGEMENT. IN NO EVENT SHALL THE</t>
  </si>
  <si>
    <r>
      <t>Q</t>
    </r>
    <r>
      <rPr>
        <b/>
        <sz val="11"/>
        <color rgb="FFFA7D00"/>
        <rFont val="Calibri"/>
        <family val="2"/>
        <scheme val="minor"/>
      </rPr>
      <t xml:space="preserve"> (cal/g)</t>
    </r>
  </si>
  <si>
    <t>Predicted values (DEoS)</t>
  </si>
  <si>
    <t>DOI</t>
  </si>
  <si>
    <t>https://doi.org/10.1039/D2CP00085G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</si>
</sst>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3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rgb="FF3F3F7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vertAlign val="superscript"/>
      <sz val="11"/>
      <color rgb="FFFA7D00"/>
      <name val="Calibri"/>
      <family val="2"/>
      <scheme val="minor"/>
    </font>
    <font>
      <b/>
      <sz val="11"/>
      <color rgb="FFFA7D00"/>
      <name val="Wide Latin"/>
      <family val="1"/>
    </font>
    <font>
      <b/>
      <i/>
      <sz val="12"/>
      <color rgb="FFFA7D00"/>
      <name val="Calibri"/>
      <family val="2"/>
      <scheme val="minor"/>
    </font>
    <font>
      <b/>
      <vertAlign val="subscript"/>
      <sz val="11"/>
      <color rgb="FFFA7D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sz val="12"/>
      <color theme="1"/>
      <name val="Calibri"/>
      <family val="2"/>
    </font>
    <font>
      <sz val="9"/>
      <color theme="1"/>
      <name val="Calibri"/>
      <family val="2"/>
      <scheme val="minor"/>
    </font>
    <font>
      <i/>
      <sz val="11"/>
      <color rgb="FF3F3F76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i/>
      <sz val="11"/>
      <color rgb="FFDDDDDD"/>
      <name val="Calibri"/>
      <family val="2"/>
      <scheme val="minor"/>
    </font>
    <font>
      <b/>
      <i/>
      <vertAlign val="superscript"/>
      <sz val="12"/>
      <color theme="1"/>
      <name val="Calibri"/>
      <family val="2"/>
    </font>
    <font>
      <b/>
      <i/>
      <vertAlign val="subscript"/>
      <sz val="12"/>
      <color theme="1"/>
      <name val="Calibri"/>
      <family val="2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24292F"/>
      <name val="Consolas"/>
      <family val="3"/>
    </font>
    <font>
      <sz val="12"/>
      <color theme="1"/>
      <name val="Calibri"/>
      <family val="2"/>
      <scheme val="minor"/>
    </font>
    <font>
      <b/>
      <sz val="12"/>
      <color rgb="FF24292F"/>
      <name val="Consolas"/>
      <family val="3"/>
    </font>
    <font>
      <b/>
      <sz val="12"/>
      <color rgb="FF5F6368"/>
      <name val="Arial"/>
      <family val="2"/>
    </font>
    <font>
      <sz val="12"/>
      <color rgb="FF4D5156"/>
      <name val="Arial"/>
      <family val="2"/>
    </font>
    <font>
      <i/>
      <vertAlign val="superscript"/>
      <sz val="12"/>
      <color theme="1"/>
      <name val="Calibri"/>
      <family val="2"/>
      <scheme val="minor"/>
    </font>
    <font>
      <b/>
      <i/>
      <vertAlign val="superscript"/>
      <sz val="11"/>
      <color theme="0"/>
      <name val="Calibri"/>
      <family val="2"/>
      <scheme val="minor"/>
    </font>
    <font>
      <b/>
      <i/>
      <vertAlign val="subscript"/>
      <sz val="11"/>
      <color theme="0"/>
      <name val="Calibri"/>
      <family val="2"/>
      <scheme val="minor"/>
    </font>
    <font>
      <b/>
      <sz val="8"/>
      <color theme="1"/>
      <name val="Arial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/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double">
        <color rgb="FF7F7F7F"/>
      </bottom>
      <diagonal/>
    </border>
    <border>
      <left/>
      <right/>
      <top style="double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6" fillId="5" borderId="0" applyNumberFormat="0" applyBorder="0" applyAlignment="0" applyProtection="0"/>
    <xf numFmtId="0" fontId="7" fillId="6" borderId="5" applyNumberFormat="0" applyAlignment="0" applyProtection="0"/>
    <xf numFmtId="0" fontId="34" fillId="0" borderId="0" applyNumberFormat="0" applyFill="0" applyBorder="0" applyAlignment="0" applyProtection="0"/>
  </cellStyleXfs>
  <cellXfs count="97">
    <xf numFmtId="0" fontId="0" fillId="0" borderId="0" xfId="0"/>
    <xf numFmtId="0" fontId="0" fillId="4" borderId="0" xfId="0" applyFill="1"/>
    <xf numFmtId="10" fontId="0" fillId="4" borderId="0" xfId="0" applyNumberFormat="1" applyFill="1"/>
    <xf numFmtId="2" fontId="0" fillId="4" borderId="0" xfId="0" applyNumberFormat="1" applyFill="1"/>
    <xf numFmtId="0" fontId="3" fillId="4" borderId="0" xfId="0" applyFont="1" applyFill="1"/>
    <xf numFmtId="165" fontId="11" fillId="4" borderId="1" xfId="2" applyNumberFormat="1" applyFont="1" applyFill="1" applyAlignment="1">
      <alignment horizontal="left"/>
    </xf>
    <xf numFmtId="0" fontId="8" fillId="4" borderId="0" xfId="0" applyFont="1" applyFill="1"/>
    <xf numFmtId="2" fontId="3" fillId="4" borderId="0" xfId="0" applyNumberFormat="1" applyFont="1" applyFill="1"/>
    <xf numFmtId="165" fontId="5" fillId="2" borderId="1" xfId="1" applyNumberFormat="1" applyFont="1" applyProtection="1">
      <protection locked="0"/>
    </xf>
    <xf numFmtId="2" fontId="5" fillId="2" borderId="1" xfId="1" applyNumberFormat="1" applyFont="1" applyProtection="1">
      <protection locked="0"/>
    </xf>
    <xf numFmtId="10" fontId="5" fillId="2" borderId="1" xfId="1" applyNumberFormat="1" applyFont="1" applyProtection="1">
      <protection locked="0"/>
    </xf>
    <xf numFmtId="165" fontId="16" fillId="2" borderId="1" xfId="1" applyNumberFormat="1" applyFont="1" applyProtection="1">
      <protection locked="0"/>
    </xf>
    <xf numFmtId="1" fontId="0" fillId="4" borderId="0" xfId="0" applyNumberFormat="1" applyFill="1"/>
    <xf numFmtId="0" fontId="17" fillId="4" borderId="0" xfId="0" applyFont="1" applyFill="1"/>
    <xf numFmtId="0" fontId="18" fillId="6" borderId="5" xfId="4" applyFont="1"/>
    <xf numFmtId="165" fontId="5" fillId="8" borderId="1" xfId="1" applyNumberFormat="1" applyFont="1" applyFill="1"/>
    <xf numFmtId="2" fontId="5" fillId="8" borderId="1" xfId="1" applyNumberFormat="1" applyFont="1" applyFill="1"/>
    <xf numFmtId="10" fontId="5" fillId="8" borderId="1" xfId="1" applyNumberFormat="1" applyFont="1" applyFill="1"/>
    <xf numFmtId="165" fontId="5" fillId="8" borderId="6" xfId="1" applyNumberFormat="1" applyFont="1" applyFill="1" applyBorder="1"/>
    <xf numFmtId="2" fontId="5" fillId="8" borderId="6" xfId="1" applyNumberFormat="1" applyFont="1" applyFill="1" applyBorder="1"/>
    <xf numFmtId="10" fontId="5" fillId="8" borderId="6" xfId="1" applyNumberFormat="1" applyFont="1" applyFill="1" applyBorder="1"/>
    <xf numFmtId="0" fontId="25" fillId="10" borderId="0" xfId="0" applyFont="1" applyFill="1" applyAlignment="1">
      <alignment vertical="top" wrapText="1"/>
    </xf>
    <xf numFmtId="0" fontId="26" fillId="10" borderId="0" xfId="0" applyFont="1" applyFill="1"/>
    <xf numFmtId="0" fontId="25" fillId="10" borderId="0" xfId="0" applyFont="1" applyFill="1" applyAlignment="1">
      <alignment horizontal="right" vertical="top"/>
    </xf>
    <xf numFmtId="0" fontId="27" fillId="10" borderId="0" xfId="0" applyFont="1" applyFill="1" applyAlignment="1">
      <alignment vertical="top" wrapText="1"/>
    </xf>
    <xf numFmtId="0" fontId="0" fillId="4" borderId="0" xfId="0" applyFill="1" applyProtection="1">
      <protection hidden="1"/>
    </xf>
    <xf numFmtId="0" fontId="28" fillId="0" borderId="0" xfId="0" applyFont="1" applyProtection="1">
      <protection hidden="1"/>
    </xf>
    <xf numFmtId="165" fontId="4" fillId="4" borderId="0" xfId="0" applyNumberFormat="1" applyFont="1" applyFill="1" applyProtection="1">
      <protection hidden="1"/>
    </xf>
    <xf numFmtId="0" fontId="0" fillId="4" borderId="0" xfId="0" applyFill="1" applyAlignment="1" applyProtection="1">
      <alignment horizontal="right"/>
      <protection hidden="1"/>
    </xf>
    <xf numFmtId="165" fontId="3" fillId="4" borderId="0" xfId="0" applyNumberFormat="1" applyFont="1" applyFill="1" applyProtection="1">
      <protection hidden="1"/>
    </xf>
    <xf numFmtId="10" fontId="0" fillId="4" borderId="0" xfId="0" applyNumberFormat="1" applyFill="1" applyProtection="1">
      <protection hidden="1"/>
    </xf>
    <xf numFmtId="1" fontId="0" fillId="4" borderId="0" xfId="0" applyNumberFormat="1" applyFill="1" applyAlignment="1" applyProtection="1">
      <alignment horizontal="right"/>
      <protection hidden="1"/>
    </xf>
    <xf numFmtId="165" fontId="13" fillId="4" borderId="0" xfId="0" applyNumberFormat="1" applyFont="1" applyFill="1" applyProtection="1">
      <protection hidden="1"/>
    </xf>
    <xf numFmtId="0" fontId="8" fillId="4" borderId="0" xfId="0" applyFont="1" applyFill="1" applyProtection="1">
      <protection hidden="1"/>
    </xf>
    <xf numFmtId="2" fontId="0" fillId="4" borderId="0" xfId="0" applyNumberFormat="1" applyFill="1" applyProtection="1">
      <protection hidden="1"/>
    </xf>
    <xf numFmtId="0" fontId="23" fillId="0" borderId="0" xfId="0" applyFont="1" applyAlignment="1" applyProtection="1">
      <alignment vertical="center"/>
      <protection hidden="1"/>
    </xf>
    <xf numFmtId="0" fontId="15" fillId="0" borderId="0" xfId="0" applyFont="1" applyAlignment="1" applyProtection="1">
      <alignment vertical="center"/>
      <protection hidden="1"/>
    </xf>
    <xf numFmtId="165" fontId="0" fillId="4" borderId="0" xfId="0" applyNumberFormat="1" applyFill="1" applyProtection="1">
      <protection hidden="1"/>
    </xf>
    <xf numFmtId="164" fontId="0" fillId="4" borderId="0" xfId="0" applyNumberFormat="1" applyFill="1" applyProtection="1">
      <protection hidden="1"/>
    </xf>
    <xf numFmtId="0" fontId="3" fillId="4" borderId="0" xfId="0" applyFont="1" applyFill="1" applyAlignment="1" applyProtection="1">
      <alignment horizontal="right"/>
      <protection hidden="1"/>
    </xf>
    <xf numFmtId="1" fontId="4" fillId="4" borderId="0" xfId="0" applyNumberFormat="1" applyFont="1" applyFill="1" applyProtection="1">
      <protection hidden="1"/>
    </xf>
    <xf numFmtId="1" fontId="4" fillId="4" borderId="0" xfId="0" applyNumberFormat="1" applyFont="1" applyFill="1" applyAlignment="1" applyProtection="1">
      <alignment horizontal="center" vertical="center" wrapText="1"/>
      <protection hidden="1"/>
    </xf>
    <xf numFmtId="165" fontId="7" fillId="4" borderId="0" xfId="0" applyNumberFormat="1" applyFont="1" applyFill="1" applyProtection="1">
      <protection hidden="1"/>
    </xf>
    <xf numFmtId="164" fontId="4" fillId="4" borderId="0" xfId="0" applyNumberFormat="1" applyFont="1" applyFill="1" applyProtection="1">
      <protection hidden="1"/>
    </xf>
    <xf numFmtId="165" fontId="8" fillId="4" borderId="0" xfId="0" applyNumberFormat="1" applyFont="1" applyFill="1" applyProtection="1">
      <protection hidden="1"/>
    </xf>
    <xf numFmtId="164" fontId="0" fillId="4" borderId="4" xfId="0" applyNumberFormat="1" applyFill="1" applyBorder="1" applyProtection="1">
      <protection hidden="1"/>
    </xf>
    <xf numFmtId="164" fontId="17" fillId="4" borderId="4" xfId="0" applyNumberFormat="1" applyFont="1" applyFill="1" applyBorder="1" applyProtection="1">
      <protection hidden="1"/>
    </xf>
    <xf numFmtId="164" fontId="3" fillId="4" borderId="0" xfId="0" applyNumberFormat="1" applyFont="1" applyFill="1" applyProtection="1">
      <protection hidden="1"/>
    </xf>
    <xf numFmtId="0" fontId="0" fillId="4" borderId="2" xfId="0" applyFill="1" applyBorder="1" applyProtection="1">
      <protection hidden="1"/>
    </xf>
    <xf numFmtId="164" fontId="4" fillId="4" borderId="2" xfId="0" applyNumberFormat="1" applyFont="1" applyFill="1" applyBorder="1" applyProtection="1">
      <protection hidden="1"/>
    </xf>
    <xf numFmtId="164" fontId="0" fillId="4" borderId="2" xfId="0" applyNumberFormat="1" applyFill="1" applyBorder="1" applyProtection="1">
      <protection hidden="1"/>
    </xf>
    <xf numFmtId="4" fontId="8" fillId="4" borderId="0" xfId="0" applyNumberFormat="1" applyFont="1" applyFill="1" applyProtection="1">
      <protection hidden="1"/>
    </xf>
    <xf numFmtId="0" fontId="3" fillId="4" borderId="0" xfId="0" applyFont="1" applyFill="1" applyProtection="1">
      <protection hidden="1"/>
    </xf>
    <xf numFmtId="0" fontId="17" fillId="4" borderId="0" xfId="0" applyFont="1" applyFill="1" applyProtection="1">
      <protection hidden="1"/>
    </xf>
    <xf numFmtId="165" fontId="17" fillId="4" borderId="0" xfId="0" applyNumberFormat="1" applyFont="1" applyFill="1" applyProtection="1">
      <protection hidden="1"/>
    </xf>
    <xf numFmtId="165" fontId="3" fillId="4" borderId="0" xfId="0" applyNumberFormat="1" applyFont="1" applyFill="1" applyAlignment="1" applyProtection="1">
      <alignment horizontal="center"/>
      <protection hidden="1"/>
    </xf>
    <xf numFmtId="10" fontId="17" fillId="4" borderId="0" xfId="0" applyNumberFormat="1" applyFont="1" applyFill="1" applyProtection="1">
      <protection hidden="1"/>
    </xf>
    <xf numFmtId="165" fontId="2" fillId="4" borderId="1" xfId="2" applyNumberFormat="1" applyFill="1" applyAlignment="1" applyProtection="1">
      <alignment horizontal="left"/>
      <protection hidden="1"/>
    </xf>
    <xf numFmtId="165" fontId="2" fillId="4" borderId="1" xfId="2" applyNumberFormat="1" applyFill="1" applyProtection="1">
      <protection hidden="1"/>
    </xf>
    <xf numFmtId="165" fontId="11" fillId="4" borderId="1" xfId="2" applyNumberFormat="1" applyFont="1" applyFill="1" applyAlignment="1" applyProtection="1">
      <alignment horizontal="left"/>
      <protection hidden="1"/>
    </xf>
    <xf numFmtId="165" fontId="10" fillId="4" borderId="1" xfId="2" applyNumberFormat="1" applyFont="1" applyFill="1" applyProtection="1">
      <protection hidden="1"/>
    </xf>
    <xf numFmtId="1" fontId="2" fillId="4" borderId="1" xfId="2" applyNumberFormat="1" applyFill="1" applyProtection="1">
      <protection hidden="1"/>
    </xf>
    <xf numFmtId="2" fontId="2" fillId="4" borderId="1" xfId="2" applyNumberFormat="1" applyFill="1" applyProtection="1">
      <protection hidden="1"/>
    </xf>
    <xf numFmtId="165" fontId="6" fillId="5" borderId="3" xfId="3" applyNumberFormat="1" applyBorder="1" applyProtection="1">
      <protection hidden="1"/>
    </xf>
    <xf numFmtId="0" fontId="7" fillId="4" borderId="0" xfId="0" applyFont="1" applyFill="1" applyProtection="1">
      <protection hidden="1"/>
    </xf>
    <xf numFmtId="165" fontId="3" fillId="8" borderId="0" xfId="0" applyNumberFormat="1" applyFont="1" applyFill="1" applyAlignment="1" applyProtection="1">
      <alignment horizontal="right"/>
      <protection hidden="1"/>
    </xf>
    <xf numFmtId="165" fontId="3" fillId="8" borderId="0" xfId="0" applyNumberFormat="1" applyFont="1" applyFill="1" applyProtection="1">
      <protection hidden="1"/>
    </xf>
    <xf numFmtId="1" fontId="3" fillId="8" borderId="0" xfId="0" applyNumberFormat="1" applyFont="1" applyFill="1" applyAlignment="1" applyProtection="1">
      <alignment horizontal="right"/>
      <protection hidden="1"/>
    </xf>
    <xf numFmtId="2" fontId="3" fillId="8" borderId="0" xfId="0" applyNumberFormat="1" applyFont="1" applyFill="1" applyProtection="1">
      <protection hidden="1"/>
    </xf>
    <xf numFmtId="1" fontId="3" fillId="8" borderId="0" xfId="0" applyNumberFormat="1" applyFont="1" applyFill="1" applyProtection="1">
      <protection hidden="1"/>
    </xf>
    <xf numFmtId="2" fontId="8" fillId="4" borderId="0" xfId="0" applyNumberFormat="1" applyFont="1" applyFill="1" applyProtection="1">
      <protection hidden="1"/>
    </xf>
    <xf numFmtId="165" fontId="3" fillId="8" borderId="2" xfId="0" applyNumberFormat="1" applyFont="1" applyFill="1" applyBorder="1" applyAlignment="1" applyProtection="1">
      <alignment horizontal="right"/>
      <protection hidden="1"/>
    </xf>
    <xf numFmtId="165" fontId="3" fillId="8" borderId="2" xfId="0" applyNumberFormat="1" applyFont="1" applyFill="1" applyBorder="1" applyProtection="1">
      <protection hidden="1"/>
    </xf>
    <xf numFmtId="1" fontId="3" fillId="8" borderId="2" xfId="0" applyNumberFormat="1" applyFont="1" applyFill="1" applyBorder="1" applyAlignment="1" applyProtection="1">
      <alignment horizontal="right"/>
      <protection hidden="1"/>
    </xf>
    <xf numFmtId="2" fontId="3" fillId="8" borderId="2" xfId="0" applyNumberFormat="1" applyFont="1" applyFill="1" applyBorder="1" applyProtection="1">
      <protection hidden="1"/>
    </xf>
    <xf numFmtId="1" fontId="3" fillId="8" borderId="2" xfId="0" applyNumberFormat="1" applyFont="1" applyFill="1" applyBorder="1" applyProtection="1">
      <protection hidden="1"/>
    </xf>
    <xf numFmtId="165" fontId="13" fillId="9" borderId="0" xfId="0" applyNumberFormat="1" applyFont="1" applyFill="1" applyAlignment="1" applyProtection="1">
      <alignment horizontal="center"/>
      <protection hidden="1"/>
    </xf>
    <xf numFmtId="165" fontId="13" fillId="9" borderId="0" xfId="0" applyNumberFormat="1" applyFont="1" applyFill="1" applyAlignment="1" applyProtection="1">
      <protection hidden="1"/>
    </xf>
    <xf numFmtId="165" fontId="3" fillId="4" borderId="0" xfId="0" applyNumberFormat="1" applyFont="1" applyFill="1" applyAlignment="1" applyProtection="1">
      <alignment horizontal="right"/>
      <protection hidden="1"/>
    </xf>
    <xf numFmtId="1" fontId="3" fillId="4" borderId="0" xfId="0" applyNumberFormat="1" applyFont="1" applyFill="1" applyAlignment="1" applyProtection="1">
      <alignment horizontal="right"/>
      <protection hidden="1"/>
    </xf>
    <xf numFmtId="2" fontId="3" fillId="0" borderId="0" xfId="0" applyNumberFormat="1" applyFont="1" applyProtection="1">
      <protection hidden="1"/>
    </xf>
    <xf numFmtId="1" fontId="3" fillId="4" borderId="0" xfId="0" applyNumberFormat="1" applyFont="1" applyFill="1" applyProtection="1">
      <protection hidden="1"/>
    </xf>
    <xf numFmtId="2" fontId="3" fillId="4" borderId="0" xfId="0" applyNumberFormat="1" applyFont="1" applyFill="1" applyProtection="1">
      <protection hidden="1"/>
    </xf>
    <xf numFmtId="165" fontId="5" fillId="4" borderId="3" xfId="1" applyNumberFormat="1" applyFont="1" applyFill="1" applyBorder="1" applyProtection="1">
      <protection hidden="1"/>
    </xf>
    <xf numFmtId="10" fontId="19" fillId="7" borderId="3" xfId="1" applyNumberFormat="1" applyFont="1" applyFill="1" applyBorder="1" applyAlignment="1" applyProtection="1">
      <alignment horizontal="center"/>
      <protection hidden="1"/>
    </xf>
    <xf numFmtId="165" fontId="13" fillId="7" borderId="3" xfId="1" applyNumberFormat="1" applyFont="1" applyFill="1" applyBorder="1" applyAlignment="1" applyProtection="1">
      <alignment horizontal="center"/>
      <protection hidden="1"/>
    </xf>
    <xf numFmtId="165" fontId="13" fillId="9" borderId="7" xfId="0" applyNumberFormat="1" applyFont="1" applyFill="1" applyBorder="1" applyAlignment="1" applyProtection="1">
      <alignment horizontal="right"/>
      <protection hidden="1"/>
    </xf>
    <xf numFmtId="0" fontId="0" fillId="0" borderId="7" xfId="0" applyBorder="1" applyAlignment="1" applyProtection="1">
      <protection hidden="1"/>
    </xf>
    <xf numFmtId="165" fontId="2" fillId="4" borderId="8" xfId="2" applyNumberFormat="1" applyFill="1" applyBorder="1" applyAlignment="1" applyProtection="1">
      <protection hidden="1"/>
    </xf>
    <xf numFmtId="0" fontId="0" fillId="0" borderId="9" xfId="0" applyBorder="1" applyAlignment="1" applyProtection="1">
      <protection hidden="1"/>
    </xf>
    <xf numFmtId="165" fontId="5" fillId="2" borderId="8" xfId="1" applyNumberFormat="1" applyFont="1" applyBorder="1" applyAlignment="1" applyProtection="1">
      <protection locked="0" hidden="1"/>
    </xf>
    <xf numFmtId="0" fontId="0" fillId="0" borderId="10" xfId="0" applyBorder="1" applyAlignment="1" applyProtection="1">
      <protection hidden="1"/>
    </xf>
    <xf numFmtId="0" fontId="22" fillId="0" borderId="0" xfId="0" applyFont="1" applyAlignment="1" applyProtection="1">
      <alignment vertical="center"/>
      <protection hidden="1"/>
    </xf>
    <xf numFmtId="0" fontId="0" fillId="0" borderId="0" xfId="0" applyAlignment="1" applyProtection="1">
      <protection hidden="1"/>
    </xf>
    <xf numFmtId="0" fontId="24" fillId="0" borderId="0" xfId="0" applyFont="1" applyAlignment="1" applyProtection="1">
      <alignment vertical="center"/>
      <protection hidden="1"/>
    </xf>
    <xf numFmtId="0" fontId="33" fillId="0" borderId="0" xfId="0" applyFont="1" applyAlignment="1">
      <alignment vertical="center"/>
    </xf>
    <xf numFmtId="0" fontId="34" fillId="0" borderId="0" xfId="5" applyAlignment="1">
      <alignment vertical="top"/>
    </xf>
  </cellXfs>
  <cellStyles count="6">
    <cellStyle name="Cálculo" xfId="2" builtinId="22"/>
    <cellStyle name="Celda de comprobación" xfId="4" builtinId="23"/>
    <cellStyle name="Entrada" xfId="1" builtinId="20"/>
    <cellStyle name="Hipervínculo" xfId="5" builtinId="8"/>
    <cellStyle name="Neutral" xfId="3" builtinId="2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Predicted</a:t>
            </a:r>
            <a:r>
              <a:rPr lang="es-ES" baseline="0"/>
              <a:t> vs Experimental - HMX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1528731288608512"/>
          <c:y val="0.11138140771828704"/>
          <c:w val="0.60677072809581467"/>
          <c:h val="0.53605602517226481"/>
        </c:manualLayout>
      </c:layout>
      <c:scatterChart>
        <c:scatterStyle val="lineMarker"/>
        <c:varyColors val="0"/>
        <c:ser>
          <c:idx val="2"/>
          <c:order val="2"/>
          <c:tx>
            <c:v>experimental 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example_HMX!$L$4:$L$16</c:f>
              <c:numCache>
                <c:formatCode>0.00</c:formatCode>
                <c:ptCount val="13"/>
                <c:pt idx="0">
                  <c:v>1.18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1.72</c:v>
                </c:pt>
                <c:pt idx="5">
                  <c:v>1.77</c:v>
                </c:pt>
                <c:pt idx="6">
                  <c:v>1.8</c:v>
                </c:pt>
                <c:pt idx="7">
                  <c:v>1.8120000000000001</c:v>
                </c:pt>
                <c:pt idx="8">
                  <c:v>1.875</c:v>
                </c:pt>
                <c:pt idx="9">
                  <c:v>1.89</c:v>
                </c:pt>
                <c:pt idx="10">
                  <c:v>1.9</c:v>
                </c:pt>
              </c:numCache>
            </c:numRef>
          </c:xVal>
          <c:yVal>
            <c:numRef>
              <c:f>example_HMX!$M$4:$M$16</c:f>
              <c:numCache>
                <c:formatCode>General</c:formatCode>
                <c:ptCount val="13"/>
                <c:pt idx="0">
                  <c:v>6670</c:v>
                </c:pt>
                <c:pt idx="1">
                  <c:v>6580</c:v>
                </c:pt>
                <c:pt idx="2">
                  <c:v>7300</c:v>
                </c:pt>
                <c:pt idx="3">
                  <c:v>7910</c:v>
                </c:pt>
                <c:pt idx="4">
                  <c:v>8480</c:v>
                </c:pt>
                <c:pt idx="5">
                  <c:v>8500</c:v>
                </c:pt>
                <c:pt idx="7">
                  <c:v>8780</c:v>
                </c:pt>
                <c:pt idx="8">
                  <c:v>9050</c:v>
                </c:pt>
                <c:pt idx="9">
                  <c:v>9100</c:v>
                </c:pt>
                <c:pt idx="10">
                  <c:v>9110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6D-414E-BD43-9EF1508B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392928"/>
        <c:axId val="1177393760"/>
      </c:scatterChart>
      <c:scatterChart>
        <c:scatterStyle val="smoothMarker"/>
        <c:varyColors val="0"/>
        <c:ser>
          <c:idx val="0"/>
          <c:order val="0"/>
          <c:tx>
            <c:strRef>
              <c:f>example_HMX!$D$3</c:f>
              <c:strCache>
                <c:ptCount val="1"/>
                <c:pt idx="0">
                  <c:v>D (m/s)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example_HMX!$B$4:$B$11</c:f>
              <c:numCache>
                <c:formatCode>General</c:formatCode>
                <c:ptCount val="8"/>
                <c:pt idx="0">
                  <c:v>1.2000000000000002</c:v>
                </c:pt>
                <c:pt idx="1">
                  <c:v>1.3000000000000003</c:v>
                </c:pt>
                <c:pt idx="2">
                  <c:v>1.4000000000000004</c:v>
                </c:pt>
                <c:pt idx="3">
                  <c:v>1.5000000000000004</c:v>
                </c:pt>
                <c:pt idx="4">
                  <c:v>1.6000000000000005</c:v>
                </c:pt>
                <c:pt idx="5">
                  <c:v>1.7000000000000006</c:v>
                </c:pt>
                <c:pt idx="6">
                  <c:v>1.8000000000000007</c:v>
                </c:pt>
                <c:pt idx="7">
                  <c:v>1.9000000000000008</c:v>
                </c:pt>
              </c:numCache>
            </c:numRef>
          </c:xVal>
          <c:yVal>
            <c:numRef>
              <c:f>example_HMX!$D$4:$D$11</c:f>
              <c:numCache>
                <c:formatCode>0</c:formatCode>
                <c:ptCount val="8"/>
                <c:pt idx="0">
                  <c:v>6632.4470596210595</c:v>
                </c:pt>
                <c:pt idx="1">
                  <c:v>6980.2362682959356</c:v>
                </c:pt>
                <c:pt idx="2">
                  <c:v>7328.0254769708117</c:v>
                </c:pt>
                <c:pt idx="3">
                  <c:v>7675.8146856456879</c:v>
                </c:pt>
                <c:pt idx="4">
                  <c:v>8023.603894320564</c:v>
                </c:pt>
                <c:pt idx="5">
                  <c:v>8371.3931029954401</c:v>
                </c:pt>
                <c:pt idx="6">
                  <c:v>8719.1823116703163</c:v>
                </c:pt>
                <c:pt idx="7">
                  <c:v>9066.9715203451924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D-414E-BD43-9EF1508B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392928"/>
        <c:axId val="1177393760"/>
      </c:scatterChart>
      <c:scatterChart>
        <c:scatterStyle val="smoothMarker"/>
        <c:varyColors val="0"/>
        <c:ser>
          <c:idx val="1"/>
          <c:order val="1"/>
          <c:tx>
            <c:strRef>
              <c:f>example_HMX!$E$3</c:f>
              <c:strCache>
                <c:ptCount val="1"/>
                <c:pt idx="0">
                  <c:v>P (kbar)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example_HMX!$B$4:$B$11</c:f>
              <c:numCache>
                <c:formatCode>General</c:formatCode>
                <c:ptCount val="8"/>
                <c:pt idx="0">
                  <c:v>1.2000000000000002</c:v>
                </c:pt>
                <c:pt idx="1">
                  <c:v>1.3000000000000003</c:v>
                </c:pt>
                <c:pt idx="2">
                  <c:v>1.4000000000000004</c:v>
                </c:pt>
                <c:pt idx="3">
                  <c:v>1.5000000000000004</c:v>
                </c:pt>
                <c:pt idx="4">
                  <c:v>1.6000000000000005</c:v>
                </c:pt>
                <c:pt idx="5">
                  <c:v>1.7000000000000006</c:v>
                </c:pt>
                <c:pt idx="6">
                  <c:v>1.8000000000000007</c:v>
                </c:pt>
                <c:pt idx="7">
                  <c:v>1.9000000000000008</c:v>
                </c:pt>
              </c:numCache>
            </c:numRef>
          </c:xVal>
          <c:yVal>
            <c:numRef>
              <c:f>example_HMX!$E$4:$E$11</c:f>
              <c:numCache>
                <c:formatCode>0</c:formatCode>
                <c:ptCount val="8"/>
                <c:pt idx="0">
                  <c:v>145.07182273986066</c:v>
                </c:pt>
                <c:pt idx="1">
                  <c:v>171.65470797030821</c:v>
                </c:pt>
                <c:pt idx="2">
                  <c:v>201.13349360214315</c:v>
                </c:pt>
                <c:pt idx="3">
                  <c:v>233.64376962193259</c:v>
                </c:pt>
                <c:pt idx="4">
                  <c:v>269.3196025202954</c:v>
                </c:pt>
                <c:pt idx="5">
                  <c:v>308.29358989934587</c:v>
                </c:pt>
                <c:pt idx="6">
                  <c:v>350.69690962794772</c:v>
                </c:pt>
                <c:pt idx="7">
                  <c:v>396.65936477862743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6D-414E-BD43-9EF1508B7DAF}"/>
            </c:ext>
          </c:extLst>
        </c:ser>
        <c:ser>
          <c:idx val="3"/>
          <c:order val="3"/>
          <c:tx>
            <c:v>experimental P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example_HMX!$L$4:$L$16</c:f>
              <c:numCache>
                <c:formatCode>0.00</c:formatCode>
                <c:ptCount val="13"/>
                <c:pt idx="0">
                  <c:v>1.18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1.72</c:v>
                </c:pt>
                <c:pt idx="5">
                  <c:v>1.77</c:v>
                </c:pt>
                <c:pt idx="6">
                  <c:v>1.8</c:v>
                </c:pt>
                <c:pt idx="7">
                  <c:v>1.8120000000000001</c:v>
                </c:pt>
                <c:pt idx="8">
                  <c:v>1.875</c:v>
                </c:pt>
                <c:pt idx="9">
                  <c:v>1.89</c:v>
                </c:pt>
                <c:pt idx="10">
                  <c:v>1.9</c:v>
                </c:pt>
              </c:numCache>
            </c:numRef>
          </c:xVal>
          <c:yVal>
            <c:numRef>
              <c:f>example_HMX!$N$4:$N$16</c:f>
              <c:numCache>
                <c:formatCode>General</c:formatCode>
                <c:ptCount val="13"/>
                <c:pt idx="0">
                  <c:v>155</c:v>
                </c:pt>
                <c:pt idx="1">
                  <c:v>160</c:v>
                </c:pt>
                <c:pt idx="2">
                  <c:v>210</c:v>
                </c:pt>
                <c:pt idx="3">
                  <c:v>280</c:v>
                </c:pt>
                <c:pt idx="5">
                  <c:v>323</c:v>
                </c:pt>
                <c:pt idx="6">
                  <c:v>361</c:v>
                </c:pt>
                <c:pt idx="9">
                  <c:v>405</c:v>
                </c:pt>
                <c:pt idx="10">
                  <c:v>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6D-414E-BD43-9EF1508B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132416"/>
        <c:axId val="1554131584"/>
      </c:scatterChart>
      <c:valAx>
        <c:axId val="11773929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density</a:t>
                </a:r>
                <a:r>
                  <a:rPr lang="es-ES" baseline="0"/>
                  <a:t> (g/cc)</a:t>
                </a:r>
                <a:endParaRPr lang="es-E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77393760"/>
        <c:crosses val="autoZero"/>
        <c:crossBetween val="midCat"/>
      </c:valAx>
      <c:valAx>
        <c:axId val="1177393760"/>
        <c:scaling>
          <c:orientation val="minMax"/>
          <c:min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aseline="0"/>
                  <a:t>D (m/s)</a:t>
                </a:r>
                <a:endParaRPr lang="es-E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77392928"/>
        <c:crosses val="autoZero"/>
        <c:crossBetween val="midCat"/>
      </c:valAx>
      <c:valAx>
        <c:axId val="1554131584"/>
        <c:scaling>
          <c:orientation val="minMax"/>
          <c:max val="500"/>
          <c:min val="1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P</a:t>
                </a:r>
                <a:r>
                  <a:rPr lang="es-ES" baseline="0"/>
                  <a:t> (kbar)</a:t>
                </a:r>
                <a:endParaRPr lang="es-E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54132416"/>
        <c:crosses val="max"/>
        <c:crossBetween val="midCat"/>
      </c:valAx>
      <c:valAx>
        <c:axId val="1554132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54131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841293467111908"/>
          <c:y val="0.79517954060663976"/>
          <c:w val="0.63301703594592318"/>
          <c:h val="0.20270416937508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311150</xdr:colOff>
      <xdr:row>5</xdr:row>
      <xdr:rowOff>177800</xdr:rowOff>
    </xdr:from>
    <xdr:to>
      <xdr:col>12</xdr:col>
      <xdr:colOff>323850</xdr:colOff>
      <xdr:row>28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doi.org/10.1039/D2CP00085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B3:C23"/>
  <sheetViews>
    <sheetView tabSelected="1" workbookViewId="0">
      <selection activeCell="B3" sqref="B3"/>
    </sheetView>
  </sheetViews>
  <sheetFormatPr baseColWidth="10" defaultColWidth="10.90625" defaultRowHeight="14.5" x14ac:dyDescent="0.35"/>
  <cols>
    <col min="1" max="2" width="10.90625" style="6"/>
    <col min="3" max="3" width="163.36328125" style="6" customWidth="1"/>
    <col min="4" max="16384" width="10.90625" style="6"/>
  </cols>
  <sheetData>
    <row r="3" spans="2:3" ht="31" x14ac:dyDescent="0.35">
      <c r="B3" s="24" t="s">
        <v>38</v>
      </c>
      <c r="C3" s="22"/>
    </row>
    <row r="4" spans="2:3" ht="15.5" x14ac:dyDescent="0.35">
      <c r="B4" s="23"/>
      <c r="C4" s="21"/>
    </row>
    <row r="5" spans="2:3" ht="15.5" x14ac:dyDescent="0.35">
      <c r="B5" s="23"/>
      <c r="C5" s="21" t="s">
        <v>39</v>
      </c>
    </row>
    <row r="6" spans="2:3" ht="15.5" x14ac:dyDescent="0.35">
      <c r="B6" s="23"/>
      <c r="C6" s="21"/>
    </row>
    <row r="7" spans="2:3" ht="15.5" x14ac:dyDescent="0.35">
      <c r="B7" s="23"/>
      <c r="C7" s="21" t="s">
        <v>40</v>
      </c>
    </row>
    <row r="8" spans="2:3" ht="15.5" x14ac:dyDescent="0.35">
      <c r="B8" s="23"/>
      <c r="C8" s="21" t="s">
        <v>41</v>
      </c>
    </row>
    <row r="9" spans="2:3" ht="15.5" x14ac:dyDescent="0.35">
      <c r="B9" s="23"/>
      <c r="C9" s="21" t="s">
        <v>42</v>
      </c>
    </row>
    <row r="10" spans="2:3" ht="15.5" x14ac:dyDescent="0.35">
      <c r="B10" s="23"/>
      <c r="C10" s="21" t="s">
        <v>43</v>
      </c>
    </row>
    <row r="11" spans="2:3" ht="15.5" x14ac:dyDescent="0.35">
      <c r="B11" s="23"/>
      <c r="C11" s="21" t="s">
        <v>44</v>
      </c>
    </row>
    <row r="12" spans="2:3" ht="15.5" x14ac:dyDescent="0.35">
      <c r="B12" s="23"/>
      <c r="C12" s="21" t="s">
        <v>45</v>
      </c>
    </row>
    <row r="13" spans="2:3" ht="15.5" x14ac:dyDescent="0.35">
      <c r="B13" s="23"/>
      <c r="C13" s="21"/>
    </row>
    <row r="14" spans="2:3" ht="15.5" x14ac:dyDescent="0.35">
      <c r="B14" s="23"/>
      <c r="C14" s="21" t="s">
        <v>46</v>
      </c>
    </row>
    <row r="15" spans="2:3" ht="15.5" x14ac:dyDescent="0.35">
      <c r="B15" s="23"/>
      <c r="C15" s="21" t="s">
        <v>47</v>
      </c>
    </row>
    <row r="16" spans="2:3" ht="15.5" x14ac:dyDescent="0.35">
      <c r="B16" s="23"/>
      <c r="C16" s="21"/>
    </row>
    <row r="17" spans="2:3" ht="15.5" x14ac:dyDescent="0.35">
      <c r="B17" s="23"/>
      <c r="C17" s="24" t="s">
        <v>48</v>
      </c>
    </row>
    <row r="18" spans="2:3" ht="15.5" x14ac:dyDescent="0.35">
      <c r="B18" s="23"/>
      <c r="C18" s="24" t="s">
        <v>49</v>
      </c>
    </row>
    <row r="19" spans="2:3" ht="15.5" x14ac:dyDescent="0.35">
      <c r="B19" s="23"/>
      <c r="C19" s="24" t="s">
        <v>50</v>
      </c>
    </row>
    <row r="20" spans="2:3" ht="15.5" x14ac:dyDescent="0.35">
      <c r="B20" s="23"/>
      <c r="C20" s="24" t="s">
        <v>51</v>
      </c>
    </row>
    <row r="21" spans="2:3" ht="15.5" x14ac:dyDescent="0.35">
      <c r="B21" s="23"/>
      <c r="C21" s="24" t="s">
        <v>60</v>
      </c>
    </row>
    <row r="22" spans="2:3" ht="15.5" x14ac:dyDescent="0.35">
      <c r="B22" s="23"/>
      <c r="C22" s="24" t="s">
        <v>52</v>
      </c>
    </row>
    <row r="23" spans="2:3" ht="15.5" x14ac:dyDescent="0.35">
      <c r="B23" s="23"/>
      <c r="C23" s="24" t="s">
        <v>53</v>
      </c>
    </row>
  </sheetData>
  <sheetProtection algorithmName="SHA-512" hashValue="7/cP90vNoBAqhMahj+uhEv8HZIhw46RQTdQ4ITJSNji8fOj7sUPgaGLhJmddSvb5FglZGRZy9EhQa0NHOlI1gg==" saltValue="wDvnNTH9hrhCWc5lYYDt0Q==" spinCount="100000" sheet="1" objects="1" scenarios="1" selectLockedCells="1" selectUn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AF32"/>
  <sheetViews>
    <sheetView workbookViewId="0">
      <selection activeCell="C23" sqref="C23"/>
    </sheetView>
  </sheetViews>
  <sheetFormatPr baseColWidth="10" defaultColWidth="10.90625" defaultRowHeight="14.5" x14ac:dyDescent="0.35"/>
  <cols>
    <col min="1" max="1" width="10.90625" style="1"/>
    <col min="2" max="2" width="30.36328125" style="1" bestFit="1" customWidth="1"/>
    <col min="3" max="3" width="15.81640625" style="1" customWidth="1"/>
    <col min="4" max="4" width="21.6328125" style="1" customWidth="1"/>
    <col min="5" max="8" width="10.90625" style="1"/>
    <col min="9" max="9" width="17.453125" style="2" bestFit="1" customWidth="1"/>
    <col min="10" max="10" width="11.1796875" style="28" bestFit="1" customWidth="1"/>
    <col min="11" max="11" width="11.1796875" style="25" bestFit="1" customWidth="1"/>
    <col min="12" max="12" width="10" style="30" customWidth="1"/>
    <col min="13" max="13" width="8.81640625" style="30" bestFit="1" customWidth="1"/>
    <col min="14" max="14" width="11" style="25" bestFit="1" customWidth="1"/>
    <col min="15" max="15" width="11.1796875" style="31" customWidth="1"/>
    <col min="16" max="16" width="17.6328125" style="31" customWidth="1"/>
    <col min="17" max="17" width="11" style="25" bestFit="1" customWidth="1"/>
    <col min="18" max="18" width="17.81640625" style="25" customWidth="1"/>
    <col min="19" max="19" width="12.08984375" style="25" customWidth="1"/>
    <col min="20" max="20" width="17.81640625" style="25" customWidth="1"/>
    <col min="21" max="26" width="11" style="25" bestFit="1" customWidth="1"/>
    <col min="27" max="27" width="0" style="33" hidden="1" customWidth="1"/>
    <col min="28" max="28" width="12" style="33" hidden="1" customWidth="1"/>
    <col min="29" max="29" width="10.90625" style="33"/>
    <col min="30" max="30" width="10.90625" style="25"/>
    <col min="31" max="32" width="10.90625" style="34"/>
    <col min="33" max="16384" width="10.90625" style="1"/>
  </cols>
  <sheetData>
    <row r="1" spans="1:32" s="25" customFormat="1" ht="15.5" x14ac:dyDescent="0.35">
      <c r="B1" s="26" t="s">
        <v>55</v>
      </c>
      <c r="D1" s="27"/>
      <c r="E1" s="27"/>
      <c r="F1" s="27"/>
      <c r="G1" s="27"/>
      <c r="H1" s="27"/>
      <c r="I1" s="27"/>
      <c r="J1" s="28"/>
      <c r="K1" s="29"/>
      <c r="L1" s="30"/>
      <c r="M1" s="30"/>
      <c r="O1" s="31"/>
      <c r="P1" s="31"/>
      <c r="U1" s="29"/>
      <c r="V1" s="29"/>
      <c r="W1" s="29"/>
      <c r="X1" s="29"/>
      <c r="Y1" s="29"/>
      <c r="Z1" s="29"/>
      <c r="AA1" s="32"/>
      <c r="AB1" s="32"/>
      <c r="AC1" s="33"/>
      <c r="AE1" s="34"/>
      <c r="AF1" s="34"/>
    </row>
    <row r="2" spans="1:32" s="25" customFormat="1" x14ac:dyDescent="0.35">
      <c r="D2" s="27"/>
      <c r="E2" s="27"/>
      <c r="F2" s="27"/>
      <c r="G2" s="27"/>
      <c r="H2" s="27"/>
      <c r="I2" s="27"/>
      <c r="J2" s="28"/>
      <c r="K2" s="29"/>
      <c r="L2" s="30"/>
      <c r="M2" s="30"/>
      <c r="O2" s="31"/>
      <c r="P2" s="31"/>
      <c r="V2" s="29"/>
      <c r="W2" s="29"/>
      <c r="X2" s="29"/>
      <c r="Y2" s="29"/>
      <c r="Z2" s="29"/>
      <c r="AA2" s="32"/>
      <c r="AB2" s="32"/>
      <c r="AC2" s="33"/>
      <c r="AE2" s="34"/>
      <c r="AF2" s="34"/>
    </row>
    <row r="3" spans="1:32" s="25" customFormat="1" ht="17.5" x14ac:dyDescent="0.35">
      <c r="B3" s="92" t="s">
        <v>57</v>
      </c>
      <c r="C3" s="93"/>
      <c r="D3" s="93"/>
      <c r="E3" s="35" t="s">
        <v>56</v>
      </c>
      <c r="H3" s="27"/>
      <c r="I3" s="27"/>
      <c r="J3" s="28"/>
      <c r="K3" s="29"/>
      <c r="L3" s="30"/>
      <c r="M3" s="30"/>
      <c r="O3" s="31"/>
      <c r="P3" s="31"/>
      <c r="U3" s="29"/>
      <c r="V3" s="29"/>
      <c r="W3" s="29"/>
      <c r="X3" s="29"/>
      <c r="Y3" s="29"/>
      <c r="Z3" s="29"/>
      <c r="AA3" s="32"/>
      <c r="AB3" s="32"/>
      <c r="AC3" s="33"/>
      <c r="AE3" s="34"/>
      <c r="AF3" s="34"/>
    </row>
    <row r="4" spans="1:32" s="25" customFormat="1" x14ac:dyDescent="0.35">
      <c r="B4" s="94" t="s">
        <v>37</v>
      </c>
      <c r="C4" s="93"/>
      <c r="D4" s="27"/>
      <c r="E4" s="95" t="s">
        <v>63</v>
      </c>
      <c r="F4" s="27"/>
      <c r="G4" s="27"/>
      <c r="H4" s="27"/>
      <c r="I4" s="27"/>
      <c r="J4" s="28"/>
      <c r="K4" s="29"/>
      <c r="L4" s="30"/>
      <c r="M4" s="30"/>
      <c r="O4" s="31"/>
      <c r="P4" s="31"/>
      <c r="U4" s="29"/>
      <c r="V4" s="29"/>
      <c r="W4" s="29"/>
      <c r="X4" s="29"/>
      <c r="Y4" s="29"/>
      <c r="Z4" s="29"/>
      <c r="AA4" s="32"/>
      <c r="AB4" s="32"/>
      <c r="AC4" s="33"/>
      <c r="AE4" s="34"/>
      <c r="AF4" s="34"/>
    </row>
    <row r="5" spans="1:32" s="25" customFormat="1" x14ac:dyDescent="0.35">
      <c r="B5" s="36"/>
      <c r="D5" s="37"/>
      <c r="E5" s="96" t="s">
        <v>64</v>
      </c>
      <c r="F5" s="38"/>
      <c r="G5" s="38"/>
      <c r="H5" s="38"/>
      <c r="I5" s="30"/>
      <c r="J5" s="28"/>
      <c r="K5" s="39"/>
      <c r="L5" s="30"/>
      <c r="M5" s="30"/>
      <c r="O5" s="31"/>
      <c r="P5" s="31"/>
      <c r="U5" s="40"/>
      <c r="V5" s="41"/>
      <c r="W5" s="41"/>
      <c r="X5" s="41"/>
      <c r="Y5" s="41"/>
      <c r="Z5" s="41"/>
      <c r="AA5" s="42"/>
      <c r="AB5" s="32"/>
      <c r="AC5" s="33"/>
      <c r="AE5" s="34"/>
      <c r="AF5" s="34"/>
    </row>
    <row r="6" spans="1:32" s="25" customFormat="1" x14ac:dyDescent="0.35">
      <c r="B6" s="90" t="s">
        <v>26</v>
      </c>
      <c r="C6" s="91"/>
      <c r="D6" s="89"/>
      <c r="G6" s="38"/>
      <c r="H6" s="43"/>
      <c r="I6" s="30"/>
      <c r="J6" s="28"/>
      <c r="L6" s="43"/>
      <c r="M6" s="43"/>
      <c r="O6" s="31"/>
      <c r="P6" s="31"/>
      <c r="W6" s="38"/>
      <c r="X6" s="38"/>
      <c r="Y6" s="38"/>
      <c r="Z6" s="38"/>
      <c r="AA6" s="44"/>
      <c r="AB6" s="32"/>
      <c r="AC6" s="33"/>
      <c r="AE6" s="34"/>
      <c r="AF6" s="34"/>
    </row>
    <row r="7" spans="1:32" s="25" customFormat="1" ht="16" thickBot="1" x14ac:dyDescent="0.4">
      <c r="D7" s="37"/>
      <c r="E7" s="45"/>
      <c r="F7" s="46" t="s">
        <v>14</v>
      </c>
      <c r="G7" s="45"/>
      <c r="H7" s="45"/>
      <c r="I7" s="47" t="s">
        <v>15</v>
      </c>
      <c r="J7" s="28"/>
      <c r="L7" s="30"/>
      <c r="M7" s="30"/>
      <c r="O7" s="31"/>
      <c r="P7" s="31"/>
      <c r="U7" s="48"/>
      <c r="V7" s="49" t="s">
        <v>17</v>
      </c>
      <c r="W7" s="48"/>
      <c r="X7" s="49" t="s">
        <v>10</v>
      </c>
      <c r="Y7" s="50"/>
      <c r="Z7" s="50"/>
      <c r="AA7" s="44"/>
      <c r="AB7" s="51"/>
      <c r="AC7" s="33"/>
      <c r="AE7" s="34"/>
      <c r="AF7" s="34"/>
    </row>
    <row r="8" spans="1:32" s="25" customFormat="1" ht="19" thickTop="1" x14ac:dyDescent="0.45">
      <c r="A8" s="52" t="s">
        <v>27</v>
      </c>
      <c r="B8" s="29" t="s">
        <v>11</v>
      </c>
      <c r="C8" s="53" t="s">
        <v>13</v>
      </c>
      <c r="D8" s="54" t="s">
        <v>36</v>
      </c>
      <c r="E8" s="55" t="s">
        <v>0</v>
      </c>
      <c r="F8" s="55" t="s">
        <v>1</v>
      </c>
      <c r="G8" s="55" t="s">
        <v>2</v>
      </c>
      <c r="H8" s="55" t="s">
        <v>3</v>
      </c>
      <c r="I8" s="56" t="s">
        <v>16</v>
      </c>
      <c r="J8" s="57" t="s">
        <v>12</v>
      </c>
      <c r="K8" s="58" t="s">
        <v>9</v>
      </c>
      <c r="L8" s="59" t="s">
        <v>21</v>
      </c>
      <c r="M8" s="59" t="s">
        <v>20</v>
      </c>
      <c r="N8" s="60" t="s">
        <v>22</v>
      </c>
      <c r="O8" s="61" t="s">
        <v>61</v>
      </c>
      <c r="P8" s="88" t="s">
        <v>23</v>
      </c>
      <c r="Q8" s="89"/>
      <c r="R8" s="62" t="s">
        <v>19</v>
      </c>
      <c r="S8" s="61" t="s">
        <v>18</v>
      </c>
      <c r="T8" s="58" t="s">
        <v>25</v>
      </c>
      <c r="U8" s="63" t="s">
        <v>0</v>
      </c>
      <c r="V8" s="63" t="s">
        <v>4</v>
      </c>
      <c r="W8" s="63" t="s">
        <v>5</v>
      </c>
      <c r="X8" s="63" t="s">
        <v>6</v>
      </c>
      <c r="Y8" s="63" t="s">
        <v>7</v>
      </c>
      <c r="Z8" s="63" t="s">
        <v>8</v>
      </c>
      <c r="AA8" s="33"/>
      <c r="AB8" s="33"/>
      <c r="AC8" s="64"/>
      <c r="AE8" s="34"/>
      <c r="AF8" s="34"/>
    </row>
    <row r="9" spans="1:32" x14ac:dyDescent="0.35">
      <c r="A9" s="4">
        <v>1</v>
      </c>
      <c r="B9" s="15" t="s">
        <v>29</v>
      </c>
      <c r="C9" s="16">
        <v>1.9</v>
      </c>
      <c r="D9" s="15">
        <v>60.542335063500225</v>
      </c>
      <c r="E9" s="15">
        <v>1.3506377035917507</v>
      </c>
      <c r="F9" s="15">
        <v>2.7012754071835015</v>
      </c>
      <c r="G9" s="15">
        <v>2.7012754071835015</v>
      </c>
      <c r="H9" s="15">
        <v>2.7012754071835015</v>
      </c>
      <c r="I9" s="17">
        <v>0</v>
      </c>
      <c r="J9" s="65" t="str">
        <f>comp(E9,F9,G9,H9,I9)</f>
        <v>CHNO</v>
      </c>
      <c r="K9" s="66">
        <f t="shared" ref="K9:K17" si="0">SUMPRODUCT(E9:H9*a_w)/(1-I9)</f>
        <v>100</v>
      </c>
      <c r="L9" s="67">
        <f>(R9*C9*1000+S9)</f>
        <v>9066.9715203451888</v>
      </c>
      <c r="M9" s="67">
        <f>C9*L9^2/(1+N9)/100000</f>
        <v>396.65936477862698</v>
      </c>
      <c r="N9" s="68">
        <f>AB9+((1+AB9)^2+AA9/2)^0.5</f>
        <v>2.9378610897942634</v>
      </c>
      <c r="O9" s="69">
        <f t="shared" ref="O9:O17" si="1">-(SUMPRODUCT(U9:W9*H_f)*1000/K9-D9)</f>
        <v>1408.8164226739655</v>
      </c>
      <c r="P9" s="68">
        <f>(N9+1)/(1+AB9)-2</f>
        <v>0.27780227702718285</v>
      </c>
      <c r="Q9" s="68">
        <f>N9*(N9-1-2*AB9)/(N9-AB9)</f>
        <v>0.63870953668448105</v>
      </c>
      <c r="R9" s="68">
        <f t="shared" ref="R9:R17" si="2">IF(J9&lt;&gt;"CNO",SUMPRODUCT(U9:Z9*c_i), 1.07*SUMPRODUCT(U9:Z9*c_i))/(100%-I9)/K9</f>
        <v>3.4778920867487582</v>
      </c>
      <c r="S9" s="69">
        <f>SQRT(O9*4184*2*(g_o^2-1))</f>
        <v>2458.9765555225495</v>
      </c>
      <c r="T9" s="66">
        <f>0.5*S9/O9</f>
        <v>0.87271006922795391</v>
      </c>
      <c r="U9" s="66">
        <f>INDEX(kj($E9,$F9,$G9,$H9),1,3)</f>
        <v>0.67531885179587536</v>
      </c>
      <c r="V9" s="66">
        <f>INDEX(kj($E9,$F9,$G9,$H9),1,1)</f>
        <v>1.3506377035917507</v>
      </c>
      <c r="W9" s="66">
        <f>INDEX(kj($E9,$F9,$G9,$H9),1,2)</f>
        <v>0.67531885179587536</v>
      </c>
      <c r="X9" s="66">
        <f>INDEX(kj($E9,$F9,$G9,$H9),1,6)</f>
        <v>1.3506377035917507</v>
      </c>
      <c r="Y9" s="66">
        <f>INDEX(kj($E9,$F9,$G9,$H9),1,5)</f>
        <v>0</v>
      </c>
      <c r="Z9" s="66">
        <f>INDEX(kj($E9,$F9,$G9,$H9),1,4)</f>
        <v>0</v>
      </c>
      <c r="AA9" s="70">
        <f>2*L9*T9/(4184)</f>
        <v>3.7824270283022638</v>
      </c>
      <c r="AB9" s="70">
        <f>R9*C9*1000/L9</f>
        <v>0.72879846925680725</v>
      </c>
      <c r="AC9" s="33">
        <f t="shared" ref="AC9:AC17" si="3">IF(COUNTBLANK(B9:I9)=0,1,"")</f>
        <v>1</v>
      </c>
    </row>
    <row r="10" spans="1:32" x14ac:dyDescent="0.35">
      <c r="A10" s="4">
        <v>2</v>
      </c>
      <c r="B10" s="15" t="s">
        <v>28</v>
      </c>
      <c r="C10" s="16">
        <v>1.9</v>
      </c>
      <c r="D10" s="15">
        <v>60.542335063500225</v>
      </c>
      <c r="E10" s="15">
        <v>4</v>
      </c>
      <c r="F10" s="15">
        <v>8</v>
      </c>
      <c r="G10" s="15">
        <v>8</v>
      </c>
      <c r="H10" s="15">
        <v>8</v>
      </c>
      <c r="I10" s="17">
        <v>0</v>
      </c>
      <c r="J10" s="65" t="str">
        <f t="shared" ref="J10:J17" si="4">comp(E10,F10,G10,H10,I10)</f>
        <v>CHNO</v>
      </c>
      <c r="K10" s="66">
        <f t="shared" si="0"/>
        <v>296.15640000000002</v>
      </c>
      <c r="L10" s="67">
        <f t="shared" ref="L10:L17" si="5">(R10*C10*1000+S10)</f>
        <v>9066.9715203451888</v>
      </c>
      <c r="M10" s="67">
        <f t="shared" ref="M10:M17" si="6">C10*L10^2/(1+N10)/100000</f>
        <v>396.65936477862698</v>
      </c>
      <c r="N10" s="68">
        <f t="shared" ref="N10:N17" si="7">AB10+((1+AB10)^2+AA10/2)^0.5</f>
        <v>2.9378610897942634</v>
      </c>
      <c r="O10" s="69">
        <f t="shared" si="1"/>
        <v>1408.8164226739652</v>
      </c>
      <c r="P10" s="68">
        <f t="shared" ref="P10:P17" si="8">(N10+1)/(1+AB10)-2</f>
        <v>0.27780227702718285</v>
      </c>
      <c r="Q10" s="68">
        <f t="shared" ref="Q10:Q17" si="9">N10*(N10-1-2*AB10)/(N10-AB10)</f>
        <v>0.63870953668448105</v>
      </c>
      <c r="R10" s="68">
        <f t="shared" si="2"/>
        <v>3.4778920867487582</v>
      </c>
      <c r="S10" s="69">
        <f t="shared" ref="S10:S17" si="10">SQRT(O10*4184*2*(g_o^2-1))</f>
        <v>2458.976555522549</v>
      </c>
      <c r="T10" s="66">
        <f t="shared" ref="T10:T17" si="11">0.5*S10/O10</f>
        <v>0.87271006922795391</v>
      </c>
      <c r="U10" s="66">
        <f>INDEX(kj($E10,$F10,$G10,$H10),1,3)</f>
        <v>2</v>
      </c>
      <c r="V10" s="66">
        <f>INDEX(kj($E10,$F10,$G10,$H10),1,1)</f>
        <v>4</v>
      </c>
      <c r="W10" s="66">
        <f>INDEX(kj($E10,$F10,$G10,$H10),1,2)</f>
        <v>2</v>
      </c>
      <c r="X10" s="66">
        <f>INDEX(kj($E10,$F10,$G10,$H10),1,6)</f>
        <v>4</v>
      </c>
      <c r="Y10" s="66">
        <f>INDEX(kj($E10,$F10,$G10,$H10),1,5)</f>
        <v>0</v>
      </c>
      <c r="Z10" s="66">
        <f>INDEX(kj($E10,$F10,$G10,$H10),1,4)</f>
        <v>0</v>
      </c>
      <c r="AA10" s="70">
        <f t="shared" ref="AA10:AA17" si="12">2*L10*T10/(4184)</f>
        <v>3.7824270283022638</v>
      </c>
      <c r="AB10" s="70">
        <f t="shared" ref="AB10:AB17" si="13">R10*C10*1000/L10</f>
        <v>0.72879846925680725</v>
      </c>
      <c r="AC10" s="33">
        <f t="shared" si="3"/>
        <v>1</v>
      </c>
    </row>
    <row r="11" spans="1:32" x14ac:dyDescent="0.35">
      <c r="A11" s="4">
        <v>3</v>
      </c>
      <c r="B11" s="15" t="s">
        <v>30</v>
      </c>
      <c r="C11" s="16">
        <v>1.86</v>
      </c>
      <c r="D11" s="15">
        <v>550.56818001516831</v>
      </c>
      <c r="E11" s="15">
        <v>2.3799777234085089</v>
      </c>
      <c r="F11" s="15">
        <v>0</v>
      </c>
      <c r="G11" s="15">
        <v>2.3799777234085089</v>
      </c>
      <c r="H11" s="15">
        <v>2.3799777234085089</v>
      </c>
      <c r="I11" s="17">
        <v>0</v>
      </c>
      <c r="J11" s="65" t="str">
        <f t="shared" si="4"/>
        <v>CNO</v>
      </c>
      <c r="K11" s="66">
        <f t="shared" si="0"/>
        <v>100</v>
      </c>
      <c r="L11" s="67">
        <f t="shared" si="5"/>
        <v>8571.7137642445159</v>
      </c>
      <c r="M11" s="67">
        <f t="shared" si="6"/>
        <v>355.73887687150273</v>
      </c>
      <c r="N11" s="68">
        <f t="shared" si="7"/>
        <v>2.8416423910221766</v>
      </c>
      <c r="O11" s="69">
        <f t="shared" si="1"/>
        <v>1550.7538182775941</v>
      </c>
      <c r="P11" s="68">
        <f t="shared" si="8"/>
        <v>0.26108693160240648</v>
      </c>
      <c r="Q11" s="68">
        <f t="shared" si="9"/>
        <v>0.5883144722153193</v>
      </c>
      <c r="R11" s="68">
        <f t="shared" si="2"/>
        <v>3.2214188475195868</v>
      </c>
      <c r="S11" s="69">
        <f t="shared" si="10"/>
        <v>2579.8747078580827</v>
      </c>
      <c r="T11" s="66">
        <f t="shared" si="11"/>
        <v>0.83181310838993205</v>
      </c>
      <c r="U11" s="66">
        <f>INDEX(kj($E11,$F11,$G11,$H11),1,3)</f>
        <v>1.1899888617042544</v>
      </c>
      <c r="V11" s="66">
        <f>INDEX(kj($E11,$F11,$G11,$H11),1,1)</f>
        <v>0</v>
      </c>
      <c r="W11" s="66">
        <f>INDEX(kj($E11,$F11,$G11,$H11),1,2)</f>
        <v>1.1899888617042544</v>
      </c>
      <c r="X11" s="66">
        <f>INDEX(kj($E11,$F11,$G11,$H11),1,6)</f>
        <v>1.1899888617042544</v>
      </c>
      <c r="Y11" s="66">
        <f>INDEX(kj($E11,$F11,$G11,$H11),1,5)</f>
        <v>0</v>
      </c>
      <c r="Z11" s="66">
        <f>INDEX(kj($E11,$F11,$G11,$H11),1,4)</f>
        <v>0</v>
      </c>
      <c r="AA11" s="70">
        <f t="shared" si="12"/>
        <v>3.4082523281381434</v>
      </c>
      <c r="AB11" s="70">
        <f t="shared" si="13"/>
        <v>0.69902463161805473</v>
      </c>
      <c r="AC11" s="33">
        <f t="shared" si="3"/>
        <v>1</v>
      </c>
    </row>
    <row r="12" spans="1:32" x14ac:dyDescent="0.35">
      <c r="A12" s="4">
        <v>4</v>
      </c>
      <c r="B12" s="15" t="s">
        <v>31</v>
      </c>
      <c r="C12" s="16">
        <v>1.895</v>
      </c>
      <c r="D12" s="15">
        <v>-142.74613345853157</v>
      </c>
      <c r="E12" s="15">
        <v>6</v>
      </c>
      <c r="F12" s="15">
        <v>6</v>
      </c>
      <c r="G12" s="15">
        <v>6</v>
      </c>
      <c r="H12" s="15">
        <v>6</v>
      </c>
      <c r="I12" s="17">
        <v>0</v>
      </c>
      <c r="J12" s="65" t="str">
        <f t="shared" si="4"/>
        <v>CHNO</v>
      </c>
      <c r="K12" s="66">
        <f t="shared" si="0"/>
        <v>258.1506</v>
      </c>
      <c r="L12" s="67">
        <f t="shared" si="5"/>
        <v>8033.6815520695036</v>
      </c>
      <c r="M12" s="67">
        <f t="shared" si="6"/>
        <v>303.46147644494721</v>
      </c>
      <c r="N12" s="68">
        <f t="shared" si="7"/>
        <v>3.0302767873043366</v>
      </c>
      <c r="O12" s="69">
        <f t="shared" si="1"/>
        <v>901.12128346786699</v>
      </c>
      <c r="P12" s="68">
        <f t="shared" si="8"/>
        <v>0.29618701354862953</v>
      </c>
      <c r="Q12" s="68">
        <f t="shared" si="9"/>
        <v>0.69243760543488508</v>
      </c>
      <c r="R12" s="68">
        <f t="shared" si="2"/>
        <v>3.2016195197686934</v>
      </c>
      <c r="S12" s="69">
        <f t="shared" si="10"/>
        <v>1966.6125621078286</v>
      </c>
      <c r="T12" s="66">
        <f t="shared" si="11"/>
        <v>1.0912030368096148</v>
      </c>
      <c r="U12" s="66">
        <f>INDEX(kj($E12,$F12,$G12,$H12),1,3)</f>
        <v>4.5</v>
      </c>
      <c r="V12" s="66">
        <f>INDEX(kj($E12,$F12,$G12,$H12),1,1)</f>
        <v>3</v>
      </c>
      <c r="W12" s="66">
        <f>INDEX(kj($E12,$F12,$G12,$H12),1,2)</f>
        <v>1.5</v>
      </c>
      <c r="X12" s="66">
        <f>INDEX(kj($E12,$F12,$G12,$H12),1,6)</f>
        <v>3</v>
      </c>
      <c r="Y12" s="66">
        <f>INDEX(kj($E12,$F12,$G12,$H12),1,5)</f>
        <v>0</v>
      </c>
      <c r="Z12" s="66">
        <f>INDEX(kj($E12,$F12,$G12,$H12),1,4)</f>
        <v>0</v>
      </c>
      <c r="AA12" s="70">
        <f t="shared" si="12"/>
        <v>4.190429113948194</v>
      </c>
      <c r="AB12" s="70">
        <f t="shared" si="13"/>
        <v>0.75520406810234808</v>
      </c>
      <c r="AC12" s="33">
        <f t="shared" si="3"/>
        <v>1</v>
      </c>
    </row>
    <row r="13" spans="1:32" x14ac:dyDescent="0.35">
      <c r="A13" s="4">
        <v>5</v>
      </c>
      <c r="B13" s="15" t="s">
        <v>33</v>
      </c>
      <c r="C13" s="16">
        <v>1.895</v>
      </c>
      <c r="D13" s="15">
        <v>-205.50928031619463</v>
      </c>
      <c r="E13" s="15">
        <v>2.304761494477733</v>
      </c>
      <c r="F13" s="15">
        <v>2.2322004700515161</v>
      </c>
      <c r="G13" s="15">
        <v>2.2080134619094429</v>
      </c>
      <c r="H13" s="15">
        <v>2.2080134619094429</v>
      </c>
      <c r="I13" s="17">
        <v>3.8135716205126499E-2</v>
      </c>
      <c r="J13" s="65" t="str">
        <f t="shared" si="4"/>
        <v>CHNOX</v>
      </c>
      <c r="K13" s="66">
        <f t="shared" si="0"/>
        <v>100</v>
      </c>
      <c r="L13" s="67">
        <f t="shared" si="5"/>
        <v>7858.2802080993724</v>
      </c>
      <c r="M13" s="67">
        <f t="shared" si="6"/>
        <v>287.06105097855954</v>
      </c>
      <c r="N13" s="68">
        <f t="shared" si="7"/>
        <v>3.0765236397294187</v>
      </c>
      <c r="O13" s="69">
        <f t="shared" si="1"/>
        <v>777.1883623671572</v>
      </c>
      <c r="P13" s="68">
        <f t="shared" si="8"/>
        <v>0.30626645522329765</v>
      </c>
      <c r="Q13" s="68">
        <f t="shared" si="9"/>
        <v>0.72131990053249739</v>
      </c>
      <c r="R13" s="68">
        <f t="shared" si="2"/>
        <v>3.1830626000366844</v>
      </c>
      <c r="S13" s="69">
        <f t="shared" si="10"/>
        <v>1826.3765810298557</v>
      </c>
      <c r="T13" s="66">
        <f t="shared" si="11"/>
        <v>1.1749896611080777</v>
      </c>
      <c r="U13" s="66">
        <f>INDEX(kj($E13,$F13,$G13,$H13),1,3)</f>
        <v>1.7588048810358905</v>
      </c>
      <c r="V13" s="66">
        <f>INDEX(kj($E13,$F13,$G13,$H13),1,1)</f>
        <v>1.1161002350257581</v>
      </c>
      <c r="W13" s="66">
        <f>INDEX(kj($E13,$F13,$G13,$H13),1,2)</f>
        <v>0.54595661344184243</v>
      </c>
      <c r="X13" s="66">
        <f>INDEX(kj($E13,$F13,$G13,$H13),1,6)</f>
        <v>1.1040067309547215</v>
      </c>
      <c r="Y13" s="66">
        <f>INDEX(kj($E13,$F13,$G13,$H13),1,5)</f>
        <v>0</v>
      </c>
      <c r="Z13" s="66">
        <f>INDEX(kj($E13,$F13,$G13,$H13),1,4)</f>
        <v>0</v>
      </c>
      <c r="AA13" s="70">
        <f t="shared" si="12"/>
        <v>4.413670171418258</v>
      </c>
      <c r="AB13" s="70">
        <f t="shared" si="13"/>
        <v>0.76758571434657608</v>
      </c>
      <c r="AC13" s="33">
        <f t="shared" si="3"/>
        <v>1</v>
      </c>
    </row>
    <row r="14" spans="1:32" x14ac:dyDescent="0.35">
      <c r="A14" s="4">
        <v>6</v>
      </c>
      <c r="B14" s="15" t="s">
        <v>32</v>
      </c>
      <c r="C14" s="16">
        <v>1.9079999999999999</v>
      </c>
      <c r="D14" s="15">
        <v>-236.89085374502622</v>
      </c>
      <c r="E14" s="15">
        <v>2.2950298933432087</v>
      </c>
      <c r="F14" s="15">
        <v>2.1861883567038829</v>
      </c>
      <c r="G14" s="15">
        <v>2.149907844490774</v>
      </c>
      <c r="H14" s="15">
        <v>2.149907844490774</v>
      </c>
      <c r="I14" s="17">
        <v>5.7203574307689298E-2</v>
      </c>
      <c r="J14" s="65" t="str">
        <f t="shared" si="4"/>
        <v>CHNOX</v>
      </c>
      <c r="K14" s="66">
        <f t="shared" si="0"/>
        <v>100</v>
      </c>
      <c r="L14" s="67">
        <f t="shared" si="5"/>
        <v>7806.5604081047641</v>
      </c>
      <c r="M14" s="67">
        <f t="shared" si="6"/>
        <v>283.08676210418042</v>
      </c>
      <c r="N14" s="68">
        <f t="shared" si="7"/>
        <v>3.107506493386988</v>
      </c>
      <c r="O14" s="69">
        <f t="shared" si="1"/>
        <v>715.22190181680264</v>
      </c>
      <c r="P14" s="68">
        <f t="shared" si="8"/>
        <v>0.31334997009361398</v>
      </c>
      <c r="Q14" s="68">
        <f t="shared" si="9"/>
        <v>0.74141477058024163</v>
      </c>
      <c r="R14" s="68">
        <f t="shared" si="2"/>
        <v>3.1732211755115634</v>
      </c>
      <c r="S14" s="69">
        <f t="shared" si="10"/>
        <v>1752.0544052287019</v>
      </c>
      <c r="T14" s="66">
        <f t="shared" si="11"/>
        <v>1.224832741264035</v>
      </c>
      <c r="U14" s="66">
        <f>INDEX(kj($E14,$F14,$G14,$H14),1,3)</f>
        <v>1.7666230602737925</v>
      </c>
      <c r="V14" s="66">
        <f>INDEX(kj($E14,$F14,$G14,$H14),1,1)</f>
        <v>1.0930941783519414</v>
      </c>
      <c r="W14" s="66">
        <f>INDEX(kj($E14,$F14,$G14,$H14),1,2)</f>
        <v>0.52840683306941627</v>
      </c>
      <c r="X14" s="66">
        <f>INDEX(kj($E14,$F14,$G14,$H14),1,6)</f>
        <v>1.074953922245387</v>
      </c>
      <c r="Y14" s="66">
        <f>INDEX(kj($E14,$F14,$G14,$H14),1,5)</f>
        <v>0</v>
      </c>
      <c r="Z14" s="66">
        <f>INDEX(kj($E14,$F14,$G14,$H14),1,4)</f>
        <v>0</v>
      </c>
      <c r="AA14" s="70">
        <f t="shared" si="12"/>
        <v>4.5706170098003067</v>
      </c>
      <c r="AB14" s="70">
        <f t="shared" si="13"/>
        <v>0.77556640650474951</v>
      </c>
      <c r="AC14" s="33">
        <f t="shared" si="3"/>
        <v>1</v>
      </c>
    </row>
    <row r="15" spans="1:32" ht="15" thickBot="1" x14ac:dyDescent="0.4">
      <c r="A15" s="4">
        <v>7</v>
      </c>
      <c r="B15" s="18" t="s">
        <v>24</v>
      </c>
      <c r="C15" s="19">
        <v>1.3</v>
      </c>
      <c r="D15" s="18">
        <v>616.98735661161254</v>
      </c>
      <c r="E15" s="18">
        <v>0</v>
      </c>
      <c r="F15" s="18">
        <v>0</v>
      </c>
      <c r="G15" s="18">
        <v>3.3326556933423537</v>
      </c>
      <c r="H15" s="18">
        <v>3.3326556933423537</v>
      </c>
      <c r="I15" s="20">
        <v>0</v>
      </c>
      <c r="J15" s="71" t="str">
        <f t="shared" si="4"/>
        <v>NO</v>
      </c>
      <c r="K15" s="72">
        <f t="shared" si="0"/>
        <v>100</v>
      </c>
      <c r="L15" s="73">
        <f t="shared" si="5"/>
        <v>5613.1475653395546</v>
      </c>
      <c r="M15" s="73">
        <f t="shared" si="6"/>
        <v>105.65963456714046</v>
      </c>
      <c r="N15" s="74">
        <f t="shared" si="7"/>
        <v>2.8765658650213428</v>
      </c>
      <c r="O15" s="75">
        <f t="shared" si="1"/>
        <v>616.98735661161254</v>
      </c>
      <c r="P15" s="74">
        <f t="shared" si="8"/>
        <v>0.2668744338609077</v>
      </c>
      <c r="Q15" s="74">
        <f t="shared" si="9"/>
        <v>0.60596525288746039</v>
      </c>
      <c r="R15" s="74">
        <f t="shared" si="2"/>
        <v>3.0660432378749651</v>
      </c>
      <c r="S15" s="75">
        <f t="shared" si="10"/>
        <v>1627.2913561020998</v>
      </c>
      <c r="T15" s="72">
        <f t="shared" si="11"/>
        <v>1.3187396294787153</v>
      </c>
      <c r="U15" s="72">
        <f>INDEX(kj($E15,$F15,$G15,$H15),1,3)</f>
        <v>0</v>
      </c>
      <c r="V15" s="72">
        <f>INDEX(kj($E15,$F15,$G15,$H15),1,1)</f>
        <v>0</v>
      </c>
      <c r="W15" s="72">
        <f>INDEX(kj($E15,$F15,$G15,$H15),1,2)</f>
        <v>0</v>
      </c>
      <c r="X15" s="72">
        <f>INDEX(kj($E15,$F15,$G15,$H15),1,6)</f>
        <v>1.6663278466711768</v>
      </c>
      <c r="Y15" s="72">
        <f>INDEX(kj($E15,$F15,$G15,$H15),1,5)</f>
        <v>0</v>
      </c>
      <c r="Z15" s="72">
        <f>INDEX(kj($E15,$F15,$G15,$H15),1,4)</f>
        <v>1.6663278466711768</v>
      </c>
      <c r="AA15" s="70">
        <f t="shared" si="12"/>
        <v>3.5383748281669392</v>
      </c>
      <c r="AB15" s="70">
        <f t="shared" si="13"/>
        <v>0.71009289580227519</v>
      </c>
      <c r="AC15" s="33">
        <f t="shared" si="3"/>
        <v>1</v>
      </c>
    </row>
    <row r="16" spans="1:32" ht="18" thickTop="1" x14ac:dyDescent="0.45">
      <c r="B16" s="83" t="s">
        <v>35</v>
      </c>
      <c r="C16" s="84" t="str">
        <f>C8&amp;"&gt;1"</f>
        <v>density (g/cc)&gt;1</v>
      </c>
      <c r="D16" s="85" t="s">
        <v>58</v>
      </c>
      <c r="E16" s="85" t="str">
        <f t="shared" ref="E16:H16" si="14">E8</f>
        <v>C</v>
      </c>
      <c r="F16" s="85" t="str">
        <f t="shared" si="14"/>
        <v>H</v>
      </c>
      <c r="G16" s="85" t="str">
        <f t="shared" si="14"/>
        <v>N</v>
      </c>
      <c r="H16" s="85" t="str">
        <f t="shared" si="14"/>
        <v>O</v>
      </c>
      <c r="I16" s="84" t="str">
        <f>I8&amp;"&lt;10"</f>
        <v>% weight&lt;10</v>
      </c>
      <c r="J16" s="76" t="str">
        <f>J8</f>
        <v>Type</v>
      </c>
      <c r="K16" s="76" t="str">
        <f t="shared" ref="K16:Z16" si="15">K8</f>
        <v>mw (g/mol)</v>
      </c>
      <c r="L16" s="76" t="str">
        <f t="shared" si="15"/>
        <v>D (m/s)</v>
      </c>
      <c r="M16" s="76" t="str">
        <f t="shared" si="15"/>
        <v>P (kbar)</v>
      </c>
      <c r="N16" s="76" t="str">
        <f t="shared" si="15"/>
        <v>γ</v>
      </c>
      <c r="O16" s="77" t="str">
        <f t="shared" si="15"/>
        <v>Q (cal/g)</v>
      </c>
      <c r="P16" s="86" t="str">
        <f t="shared" si="15"/>
        <v>Jones and Grüneisen parameters</v>
      </c>
      <c r="Q16" s="87"/>
      <c r="R16" s="76" t="str">
        <f t="shared" si="15"/>
        <v>w (m/s per kg/m3)</v>
      </c>
      <c r="S16" s="76" t="str">
        <f t="shared" si="15"/>
        <v>Do (m/s)</v>
      </c>
      <c r="T16" s="76" t="s">
        <v>59</v>
      </c>
      <c r="U16" s="76" t="str">
        <f t="shared" si="15"/>
        <v>C</v>
      </c>
      <c r="V16" s="76" t="str">
        <f t="shared" si="15"/>
        <v>H2O</v>
      </c>
      <c r="W16" s="76" t="str">
        <f t="shared" si="15"/>
        <v>CO2</v>
      </c>
      <c r="X16" s="76" t="str">
        <f t="shared" si="15"/>
        <v>N2</v>
      </c>
      <c r="Y16" s="76" t="str">
        <f t="shared" si="15"/>
        <v>H2</v>
      </c>
      <c r="Z16" s="76" t="str">
        <f t="shared" si="15"/>
        <v>O2</v>
      </c>
      <c r="AA16" s="70" t="e">
        <f t="shared" si="12"/>
        <v>#VALUE!</v>
      </c>
      <c r="AB16" s="70" t="e">
        <f t="shared" si="13"/>
        <v>#VALUE!</v>
      </c>
      <c r="AC16" s="33">
        <f t="shared" si="3"/>
        <v>1</v>
      </c>
    </row>
    <row r="17" spans="2:29" x14ac:dyDescent="0.35">
      <c r="B17" s="11"/>
      <c r="C17" s="9"/>
      <c r="D17" s="8"/>
      <c r="E17" s="8">
        <v>0</v>
      </c>
      <c r="F17" s="8">
        <v>0</v>
      </c>
      <c r="G17" s="8">
        <v>0</v>
      </c>
      <c r="H17" s="8">
        <v>0</v>
      </c>
      <c r="I17" s="10">
        <v>0</v>
      </c>
      <c r="J17" s="78" t="str">
        <f t="shared" si="4"/>
        <v/>
      </c>
      <c r="K17" s="29">
        <f t="shared" si="0"/>
        <v>0</v>
      </c>
      <c r="L17" s="79" t="e">
        <f t="shared" si="5"/>
        <v>#DIV/0!</v>
      </c>
      <c r="M17" s="79" t="e">
        <f t="shared" si="6"/>
        <v>#DIV/0!</v>
      </c>
      <c r="N17" s="80" t="e">
        <f t="shared" si="7"/>
        <v>#DIV/0!</v>
      </c>
      <c r="O17" s="81" t="e">
        <f t="shared" si="1"/>
        <v>#DIV/0!</v>
      </c>
      <c r="P17" s="80" t="e">
        <f t="shared" si="8"/>
        <v>#DIV/0!</v>
      </c>
      <c r="Q17" s="80" t="e">
        <f t="shared" si="9"/>
        <v>#DIV/0!</v>
      </c>
      <c r="R17" s="82" t="e">
        <f t="shared" si="2"/>
        <v>#DIV/0!</v>
      </c>
      <c r="S17" s="81" t="e">
        <f t="shared" si="10"/>
        <v>#DIV/0!</v>
      </c>
      <c r="T17" s="29" t="e">
        <f t="shared" si="11"/>
        <v>#DIV/0!</v>
      </c>
      <c r="U17" s="29">
        <f>INDEX(kj($E17,$F17,$G17,$H17),1,3)</f>
        <v>0</v>
      </c>
      <c r="V17" s="29">
        <f>INDEX(kj($E17,$F17,$G17,$H17),1,1)</f>
        <v>0</v>
      </c>
      <c r="W17" s="29">
        <f>INDEX(kj($E17,$F17,$G17,$H17),1,2)</f>
        <v>0</v>
      </c>
      <c r="X17" s="29">
        <f>INDEX(kj($E17,$F17,$G17,$H17),1,6)</f>
        <v>0</v>
      </c>
      <c r="Y17" s="29">
        <f>INDEX(kj($E17,$F17,$G17,$H17),1,5)</f>
        <v>0</v>
      </c>
      <c r="Z17" s="29">
        <f>INDEX(kj($E17,$F17,$G17,$H17),1,4)</f>
        <v>0</v>
      </c>
      <c r="AA17" s="70" t="e">
        <f t="shared" si="12"/>
        <v>#DIV/0!</v>
      </c>
      <c r="AB17" s="70" t="e">
        <f t="shared" si="13"/>
        <v>#DIV/0!</v>
      </c>
      <c r="AC17" s="33" t="str">
        <f t="shared" si="3"/>
        <v/>
      </c>
    </row>
    <row r="18" spans="2:29" x14ac:dyDescent="0.35">
      <c r="B18" s="11"/>
      <c r="C18" s="9"/>
      <c r="D18" s="8"/>
      <c r="E18" s="8">
        <v>0</v>
      </c>
      <c r="F18" s="8">
        <v>0</v>
      </c>
      <c r="G18" s="8">
        <v>0</v>
      </c>
      <c r="H18" s="8">
        <v>0</v>
      </c>
      <c r="I18" s="10">
        <v>0</v>
      </c>
      <c r="J18" s="78" t="str">
        <f t="shared" ref="J18:J31" si="16">comp(E18,F18,G18,H18,I18)</f>
        <v/>
      </c>
      <c r="K18" s="29">
        <f t="shared" ref="K18:K31" si="17">SUMPRODUCT(E18:H18*a_w)/(1-I18)</f>
        <v>0</v>
      </c>
      <c r="L18" s="79" t="e">
        <f t="shared" ref="L18:L31" si="18">(R18*C18*1000+S18)</f>
        <v>#DIV/0!</v>
      </c>
      <c r="M18" s="79" t="e">
        <f t="shared" ref="M18:M31" si="19">C18*L18^2/(1+N18)/100000</f>
        <v>#DIV/0!</v>
      </c>
      <c r="N18" s="80" t="e">
        <f t="shared" ref="N18:N31" si="20">AB18+((1+AB18)^2+AA18/2)^0.5</f>
        <v>#DIV/0!</v>
      </c>
      <c r="O18" s="81" t="e">
        <f t="shared" ref="O18:O31" si="21">-(SUMPRODUCT(U18:W18*H_f)*1000/K18-D18)</f>
        <v>#DIV/0!</v>
      </c>
      <c r="P18" s="80" t="e">
        <f t="shared" ref="P18:P31" si="22">(N18+1)/(1+AB18)-2</f>
        <v>#DIV/0!</v>
      </c>
      <c r="Q18" s="80" t="e">
        <f t="shared" ref="Q18:Q31" si="23">N18*(N18-1-2*AB18)/(N18-AB18)</f>
        <v>#DIV/0!</v>
      </c>
      <c r="R18" s="82" t="e">
        <f t="shared" ref="R18:R31" si="24">IF(J18&lt;&gt;"CNO",SUMPRODUCT(U18:Z18*c_i), 1.07*SUMPRODUCT(U18:Z18*c_i))/(100%-I18)/K18</f>
        <v>#DIV/0!</v>
      </c>
      <c r="S18" s="81" t="e">
        <f t="shared" ref="S18:S31" si="25">SQRT(O18*4184*2*(g_o^2-1))</f>
        <v>#DIV/0!</v>
      </c>
      <c r="T18" s="29" t="e">
        <f t="shared" ref="T18:T31" si="26">0.5*S18/O18</f>
        <v>#DIV/0!</v>
      </c>
      <c r="U18" s="29">
        <f>INDEX(kj($E18,$F18,$G18,$H18),1,3)</f>
        <v>0</v>
      </c>
      <c r="V18" s="29">
        <f>INDEX(kj($E18,$F18,$G18,$H18),1,1)</f>
        <v>0</v>
      </c>
      <c r="W18" s="29">
        <f>INDEX(kj($E18,$F18,$G18,$H18),1,2)</f>
        <v>0</v>
      </c>
      <c r="X18" s="29">
        <f>INDEX(kj($E18,$F18,$G18,$H18),1,6)</f>
        <v>0</v>
      </c>
      <c r="Y18" s="29">
        <f>INDEX(kj($E18,$F18,$G18,$H18),1,5)</f>
        <v>0</v>
      </c>
      <c r="Z18" s="29">
        <f>INDEX(kj($E18,$F18,$G18,$H18),1,4)</f>
        <v>0</v>
      </c>
      <c r="AA18" s="70" t="e">
        <f t="shared" ref="AA18:AA31" si="27">2*L18*T18/(4184)</f>
        <v>#DIV/0!</v>
      </c>
      <c r="AB18" s="70" t="e">
        <f t="shared" ref="AB18:AB31" si="28">R18*C18*1000/L18</f>
        <v>#DIV/0!</v>
      </c>
      <c r="AC18" s="33" t="str">
        <f t="shared" ref="AC18:AC31" si="29">IF(COUNTBLANK(B18:I18)=0,1,"")</f>
        <v/>
      </c>
    </row>
    <row r="19" spans="2:29" x14ac:dyDescent="0.35">
      <c r="B19" s="11"/>
      <c r="C19" s="9"/>
      <c r="D19" s="8"/>
      <c r="E19" s="8">
        <v>0</v>
      </c>
      <c r="F19" s="8">
        <v>0</v>
      </c>
      <c r="G19" s="8">
        <v>0</v>
      </c>
      <c r="H19" s="8">
        <v>0</v>
      </c>
      <c r="I19" s="10">
        <v>0</v>
      </c>
      <c r="J19" s="78" t="str">
        <f t="shared" si="16"/>
        <v/>
      </c>
      <c r="K19" s="29">
        <f t="shared" si="17"/>
        <v>0</v>
      </c>
      <c r="L19" s="79" t="e">
        <f t="shared" si="18"/>
        <v>#DIV/0!</v>
      </c>
      <c r="M19" s="79" t="e">
        <f t="shared" si="19"/>
        <v>#DIV/0!</v>
      </c>
      <c r="N19" s="80" t="e">
        <f t="shared" si="20"/>
        <v>#DIV/0!</v>
      </c>
      <c r="O19" s="81" t="e">
        <f t="shared" si="21"/>
        <v>#DIV/0!</v>
      </c>
      <c r="P19" s="80" t="e">
        <f t="shared" si="22"/>
        <v>#DIV/0!</v>
      </c>
      <c r="Q19" s="80" t="e">
        <f t="shared" si="23"/>
        <v>#DIV/0!</v>
      </c>
      <c r="R19" s="82" t="e">
        <f t="shared" si="24"/>
        <v>#DIV/0!</v>
      </c>
      <c r="S19" s="81" t="e">
        <f t="shared" si="25"/>
        <v>#DIV/0!</v>
      </c>
      <c r="T19" s="29" t="e">
        <f t="shared" si="26"/>
        <v>#DIV/0!</v>
      </c>
      <c r="U19" s="29">
        <f>INDEX(kj($E19,$F19,$G19,$H19),1,3)</f>
        <v>0</v>
      </c>
      <c r="V19" s="29">
        <f>INDEX(kj($E19,$F19,$G19,$H19),1,1)</f>
        <v>0</v>
      </c>
      <c r="W19" s="29">
        <f>INDEX(kj($E19,$F19,$G19,$H19),1,2)</f>
        <v>0</v>
      </c>
      <c r="X19" s="29">
        <f>INDEX(kj($E19,$F19,$G19,$H19),1,6)</f>
        <v>0</v>
      </c>
      <c r="Y19" s="29">
        <f>INDEX(kj($E19,$F19,$G19,$H19),1,5)</f>
        <v>0</v>
      </c>
      <c r="Z19" s="29">
        <f>INDEX(kj($E19,$F19,$G19,$H19),1,4)</f>
        <v>0</v>
      </c>
      <c r="AA19" s="70" t="e">
        <f t="shared" si="27"/>
        <v>#DIV/0!</v>
      </c>
      <c r="AB19" s="70" t="e">
        <f t="shared" si="28"/>
        <v>#DIV/0!</v>
      </c>
      <c r="AC19" s="33" t="str">
        <f t="shared" si="29"/>
        <v/>
      </c>
    </row>
    <row r="20" spans="2:29" x14ac:dyDescent="0.35">
      <c r="B20" s="11"/>
      <c r="C20" s="9"/>
      <c r="D20" s="8"/>
      <c r="E20" s="8">
        <v>0</v>
      </c>
      <c r="F20" s="8">
        <v>0</v>
      </c>
      <c r="G20" s="8">
        <v>0</v>
      </c>
      <c r="H20" s="8">
        <v>0</v>
      </c>
      <c r="I20" s="10">
        <v>0</v>
      </c>
      <c r="J20" s="78" t="str">
        <f t="shared" si="16"/>
        <v/>
      </c>
      <c r="K20" s="29">
        <f t="shared" si="17"/>
        <v>0</v>
      </c>
      <c r="L20" s="79" t="e">
        <f t="shared" si="18"/>
        <v>#DIV/0!</v>
      </c>
      <c r="M20" s="79" t="e">
        <f t="shared" si="19"/>
        <v>#DIV/0!</v>
      </c>
      <c r="N20" s="80" t="e">
        <f t="shared" si="20"/>
        <v>#DIV/0!</v>
      </c>
      <c r="O20" s="81" t="e">
        <f t="shared" si="21"/>
        <v>#DIV/0!</v>
      </c>
      <c r="P20" s="80" t="e">
        <f t="shared" si="22"/>
        <v>#DIV/0!</v>
      </c>
      <c r="Q20" s="80" t="e">
        <f t="shared" si="23"/>
        <v>#DIV/0!</v>
      </c>
      <c r="R20" s="82" t="e">
        <f t="shared" si="24"/>
        <v>#DIV/0!</v>
      </c>
      <c r="S20" s="81" t="e">
        <f t="shared" si="25"/>
        <v>#DIV/0!</v>
      </c>
      <c r="T20" s="29" t="e">
        <f t="shared" si="26"/>
        <v>#DIV/0!</v>
      </c>
      <c r="U20" s="29">
        <f>INDEX(kj($E20,$F20,$G20,$H20),1,3)</f>
        <v>0</v>
      </c>
      <c r="V20" s="29">
        <f>INDEX(kj($E20,$F20,$G20,$H20),1,1)</f>
        <v>0</v>
      </c>
      <c r="W20" s="29">
        <f>INDEX(kj($E20,$F20,$G20,$H20),1,2)</f>
        <v>0</v>
      </c>
      <c r="X20" s="29">
        <f>INDEX(kj($E20,$F20,$G20,$H20),1,6)</f>
        <v>0</v>
      </c>
      <c r="Y20" s="29">
        <f>INDEX(kj($E20,$F20,$G20,$H20),1,5)</f>
        <v>0</v>
      </c>
      <c r="Z20" s="29">
        <f>INDEX(kj($E20,$F20,$G20,$H20),1,4)</f>
        <v>0</v>
      </c>
      <c r="AA20" s="70" t="e">
        <f t="shared" si="27"/>
        <v>#DIV/0!</v>
      </c>
      <c r="AB20" s="70" t="e">
        <f t="shared" si="28"/>
        <v>#DIV/0!</v>
      </c>
      <c r="AC20" s="33" t="str">
        <f t="shared" si="29"/>
        <v/>
      </c>
    </row>
    <row r="21" spans="2:29" x14ac:dyDescent="0.35">
      <c r="B21" s="11"/>
      <c r="C21" s="9"/>
      <c r="D21" s="8"/>
      <c r="E21" s="8">
        <v>0</v>
      </c>
      <c r="F21" s="8">
        <v>0</v>
      </c>
      <c r="G21" s="8">
        <v>0</v>
      </c>
      <c r="H21" s="8">
        <v>0</v>
      </c>
      <c r="I21" s="10">
        <v>0</v>
      </c>
      <c r="J21" s="78" t="str">
        <f t="shared" si="16"/>
        <v/>
      </c>
      <c r="K21" s="29">
        <f t="shared" si="17"/>
        <v>0</v>
      </c>
      <c r="L21" s="79" t="e">
        <f t="shared" si="18"/>
        <v>#DIV/0!</v>
      </c>
      <c r="M21" s="79" t="e">
        <f t="shared" si="19"/>
        <v>#DIV/0!</v>
      </c>
      <c r="N21" s="80" t="e">
        <f t="shared" si="20"/>
        <v>#DIV/0!</v>
      </c>
      <c r="O21" s="81" t="e">
        <f t="shared" si="21"/>
        <v>#DIV/0!</v>
      </c>
      <c r="P21" s="80" t="e">
        <f t="shared" si="22"/>
        <v>#DIV/0!</v>
      </c>
      <c r="Q21" s="80" t="e">
        <f t="shared" si="23"/>
        <v>#DIV/0!</v>
      </c>
      <c r="R21" s="82" t="e">
        <f t="shared" si="24"/>
        <v>#DIV/0!</v>
      </c>
      <c r="S21" s="81" t="e">
        <f t="shared" si="25"/>
        <v>#DIV/0!</v>
      </c>
      <c r="T21" s="29" t="e">
        <f t="shared" si="26"/>
        <v>#DIV/0!</v>
      </c>
      <c r="U21" s="29">
        <f>INDEX(kj($E21,$F21,$G21,$H21),1,3)</f>
        <v>0</v>
      </c>
      <c r="V21" s="29">
        <f>INDEX(kj($E21,$F21,$G21,$H21),1,1)</f>
        <v>0</v>
      </c>
      <c r="W21" s="29">
        <f>INDEX(kj($E21,$F21,$G21,$H21),1,2)</f>
        <v>0</v>
      </c>
      <c r="X21" s="29">
        <f>INDEX(kj($E21,$F21,$G21,$H21),1,6)</f>
        <v>0</v>
      </c>
      <c r="Y21" s="29">
        <f>INDEX(kj($E21,$F21,$G21,$H21),1,5)</f>
        <v>0</v>
      </c>
      <c r="Z21" s="29">
        <f>INDEX(kj($E21,$F21,$G21,$H21),1,4)</f>
        <v>0</v>
      </c>
      <c r="AA21" s="70" t="e">
        <f t="shared" si="27"/>
        <v>#DIV/0!</v>
      </c>
      <c r="AB21" s="70" t="e">
        <f t="shared" si="28"/>
        <v>#DIV/0!</v>
      </c>
      <c r="AC21" s="33" t="str">
        <f t="shared" si="29"/>
        <v/>
      </c>
    </row>
    <row r="22" spans="2:29" x14ac:dyDescent="0.35">
      <c r="B22" s="11"/>
      <c r="C22" s="9"/>
      <c r="D22" s="8"/>
      <c r="E22" s="8">
        <v>0</v>
      </c>
      <c r="F22" s="8">
        <v>0</v>
      </c>
      <c r="G22" s="8">
        <v>0</v>
      </c>
      <c r="H22" s="8">
        <v>0</v>
      </c>
      <c r="I22" s="10">
        <v>0</v>
      </c>
      <c r="J22" s="78" t="str">
        <f t="shared" si="16"/>
        <v/>
      </c>
      <c r="K22" s="29">
        <f t="shared" si="17"/>
        <v>0</v>
      </c>
      <c r="L22" s="79" t="e">
        <f t="shared" si="18"/>
        <v>#DIV/0!</v>
      </c>
      <c r="M22" s="79" t="e">
        <f t="shared" si="19"/>
        <v>#DIV/0!</v>
      </c>
      <c r="N22" s="80" t="e">
        <f t="shared" si="20"/>
        <v>#DIV/0!</v>
      </c>
      <c r="O22" s="81" t="e">
        <f t="shared" si="21"/>
        <v>#DIV/0!</v>
      </c>
      <c r="P22" s="80" t="e">
        <f t="shared" si="22"/>
        <v>#DIV/0!</v>
      </c>
      <c r="Q22" s="80" t="e">
        <f t="shared" si="23"/>
        <v>#DIV/0!</v>
      </c>
      <c r="R22" s="82" t="e">
        <f t="shared" si="24"/>
        <v>#DIV/0!</v>
      </c>
      <c r="S22" s="81" t="e">
        <f t="shared" si="25"/>
        <v>#DIV/0!</v>
      </c>
      <c r="T22" s="29" t="e">
        <f t="shared" si="26"/>
        <v>#DIV/0!</v>
      </c>
      <c r="U22" s="29">
        <f>INDEX(kj($E22,$F22,$G22,$H22),1,3)</f>
        <v>0</v>
      </c>
      <c r="V22" s="29">
        <f>INDEX(kj($E22,$F22,$G22,$H22),1,1)</f>
        <v>0</v>
      </c>
      <c r="W22" s="29">
        <f>INDEX(kj($E22,$F22,$G22,$H22),1,2)</f>
        <v>0</v>
      </c>
      <c r="X22" s="29">
        <f>INDEX(kj($E22,$F22,$G22,$H22),1,6)</f>
        <v>0</v>
      </c>
      <c r="Y22" s="29">
        <f>INDEX(kj($E22,$F22,$G22,$H22),1,5)</f>
        <v>0</v>
      </c>
      <c r="Z22" s="29">
        <f>INDEX(kj($E22,$F22,$G22,$H22),1,4)</f>
        <v>0</v>
      </c>
      <c r="AA22" s="70" t="e">
        <f t="shared" si="27"/>
        <v>#DIV/0!</v>
      </c>
      <c r="AB22" s="70" t="e">
        <f t="shared" si="28"/>
        <v>#DIV/0!</v>
      </c>
      <c r="AC22" s="33" t="str">
        <f t="shared" si="29"/>
        <v/>
      </c>
    </row>
    <row r="23" spans="2:29" x14ac:dyDescent="0.35">
      <c r="B23" s="11"/>
      <c r="C23" s="9"/>
      <c r="D23" s="8"/>
      <c r="E23" s="8">
        <v>0</v>
      </c>
      <c r="F23" s="8">
        <v>0</v>
      </c>
      <c r="G23" s="8">
        <v>0</v>
      </c>
      <c r="H23" s="8">
        <v>0</v>
      </c>
      <c r="I23" s="10">
        <v>0</v>
      </c>
      <c r="J23" s="78" t="str">
        <f t="shared" si="16"/>
        <v/>
      </c>
      <c r="K23" s="29">
        <f t="shared" si="17"/>
        <v>0</v>
      </c>
      <c r="L23" s="79" t="e">
        <f t="shared" si="18"/>
        <v>#DIV/0!</v>
      </c>
      <c r="M23" s="79" t="e">
        <f t="shared" si="19"/>
        <v>#DIV/0!</v>
      </c>
      <c r="N23" s="80" t="e">
        <f t="shared" si="20"/>
        <v>#DIV/0!</v>
      </c>
      <c r="O23" s="81" t="e">
        <f t="shared" si="21"/>
        <v>#DIV/0!</v>
      </c>
      <c r="P23" s="80" t="e">
        <f t="shared" si="22"/>
        <v>#DIV/0!</v>
      </c>
      <c r="Q23" s="80" t="e">
        <f t="shared" si="23"/>
        <v>#DIV/0!</v>
      </c>
      <c r="R23" s="82" t="e">
        <f t="shared" si="24"/>
        <v>#DIV/0!</v>
      </c>
      <c r="S23" s="81" t="e">
        <f t="shared" si="25"/>
        <v>#DIV/0!</v>
      </c>
      <c r="T23" s="29" t="e">
        <f t="shared" si="26"/>
        <v>#DIV/0!</v>
      </c>
      <c r="U23" s="29">
        <f>INDEX(kj($E23,$F23,$G23,$H23),1,3)</f>
        <v>0</v>
      </c>
      <c r="V23" s="29">
        <f>INDEX(kj($E23,$F23,$G23,$H23),1,1)</f>
        <v>0</v>
      </c>
      <c r="W23" s="29">
        <f>INDEX(kj($E23,$F23,$G23,$H23),1,2)</f>
        <v>0</v>
      </c>
      <c r="X23" s="29">
        <f>INDEX(kj($E23,$F23,$G23,$H23),1,6)</f>
        <v>0</v>
      </c>
      <c r="Y23" s="29">
        <f>INDEX(kj($E23,$F23,$G23,$H23),1,5)</f>
        <v>0</v>
      </c>
      <c r="Z23" s="29">
        <f>INDEX(kj($E23,$F23,$G23,$H23),1,4)</f>
        <v>0</v>
      </c>
      <c r="AA23" s="70" t="e">
        <f t="shared" si="27"/>
        <v>#DIV/0!</v>
      </c>
      <c r="AB23" s="70" t="e">
        <f t="shared" si="28"/>
        <v>#DIV/0!</v>
      </c>
      <c r="AC23" s="33" t="str">
        <f t="shared" si="29"/>
        <v/>
      </c>
    </row>
    <row r="24" spans="2:29" x14ac:dyDescent="0.35">
      <c r="B24" s="11"/>
      <c r="C24" s="9"/>
      <c r="D24" s="8"/>
      <c r="E24" s="8">
        <v>0</v>
      </c>
      <c r="F24" s="8">
        <v>0</v>
      </c>
      <c r="G24" s="8">
        <v>0</v>
      </c>
      <c r="H24" s="8">
        <v>0</v>
      </c>
      <c r="I24" s="10">
        <v>0</v>
      </c>
      <c r="J24" s="78" t="str">
        <f t="shared" si="16"/>
        <v/>
      </c>
      <c r="K24" s="29">
        <f t="shared" si="17"/>
        <v>0</v>
      </c>
      <c r="L24" s="79" t="e">
        <f t="shared" si="18"/>
        <v>#DIV/0!</v>
      </c>
      <c r="M24" s="79" t="e">
        <f t="shared" si="19"/>
        <v>#DIV/0!</v>
      </c>
      <c r="N24" s="80" t="e">
        <f t="shared" si="20"/>
        <v>#DIV/0!</v>
      </c>
      <c r="O24" s="81" t="e">
        <f t="shared" si="21"/>
        <v>#DIV/0!</v>
      </c>
      <c r="P24" s="80" t="e">
        <f t="shared" si="22"/>
        <v>#DIV/0!</v>
      </c>
      <c r="Q24" s="80" t="e">
        <f t="shared" si="23"/>
        <v>#DIV/0!</v>
      </c>
      <c r="R24" s="82" t="e">
        <f t="shared" si="24"/>
        <v>#DIV/0!</v>
      </c>
      <c r="S24" s="81" t="e">
        <f t="shared" si="25"/>
        <v>#DIV/0!</v>
      </c>
      <c r="T24" s="29" t="e">
        <f t="shared" si="26"/>
        <v>#DIV/0!</v>
      </c>
      <c r="U24" s="29">
        <f>INDEX(kj($E24,$F24,$G24,$H24),1,3)</f>
        <v>0</v>
      </c>
      <c r="V24" s="29">
        <f>INDEX(kj($E24,$F24,$G24,$H24),1,1)</f>
        <v>0</v>
      </c>
      <c r="W24" s="29">
        <f>INDEX(kj($E24,$F24,$G24,$H24),1,2)</f>
        <v>0</v>
      </c>
      <c r="X24" s="29">
        <f>INDEX(kj($E24,$F24,$G24,$H24),1,6)</f>
        <v>0</v>
      </c>
      <c r="Y24" s="29">
        <f>INDEX(kj($E24,$F24,$G24,$H24),1,5)</f>
        <v>0</v>
      </c>
      <c r="Z24" s="29">
        <f>INDEX(kj($E24,$F24,$G24,$H24),1,4)</f>
        <v>0</v>
      </c>
      <c r="AA24" s="70" t="e">
        <f t="shared" si="27"/>
        <v>#DIV/0!</v>
      </c>
      <c r="AB24" s="70" t="e">
        <f t="shared" si="28"/>
        <v>#DIV/0!</v>
      </c>
      <c r="AC24" s="33" t="str">
        <f t="shared" si="29"/>
        <v/>
      </c>
    </row>
    <row r="25" spans="2:29" x14ac:dyDescent="0.35">
      <c r="B25" s="11"/>
      <c r="C25" s="9"/>
      <c r="D25" s="8"/>
      <c r="E25" s="8">
        <v>0</v>
      </c>
      <c r="F25" s="8">
        <v>0</v>
      </c>
      <c r="G25" s="8">
        <v>0</v>
      </c>
      <c r="H25" s="8">
        <v>0</v>
      </c>
      <c r="I25" s="10">
        <v>0</v>
      </c>
      <c r="J25" s="78" t="str">
        <f t="shared" si="16"/>
        <v/>
      </c>
      <c r="K25" s="29">
        <f t="shared" si="17"/>
        <v>0</v>
      </c>
      <c r="L25" s="79" t="e">
        <f t="shared" si="18"/>
        <v>#DIV/0!</v>
      </c>
      <c r="M25" s="79" t="e">
        <f t="shared" si="19"/>
        <v>#DIV/0!</v>
      </c>
      <c r="N25" s="80" t="e">
        <f t="shared" si="20"/>
        <v>#DIV/0!</v>
      </c>
      <c r="O25" s="81" t="e">
        <f t="shared" si="21"/>
        <v>#DIV/0!</v>
      </c>
      <c r="P25" s="80" t="e">
        <f t="shared" si="22"/>
        <v>#DIV/0!</v>
      </c>
      <c r="Q25" s="80" t="e">
        <f t="shared" si="23"/>
        <v>#DIV/0!</v>
      </c>
      <c r="R25" s="82" t="e">
        <f t="shared" si="24"/>
        <v>#DIV/0!</v>
      </c>
      <c r="S25" s="81" t="e">
        <f t="shared" si="25"/>
        <v>#DIV/0!</v>
      </c>
      <c r="T25" s="29" t="e">
        <f t="shared" si="26"/>
        <v>#DIV/0!</v>
      </c>
      <c r="U25" s="29">
        <f>INDEX(kj($E25,$F25,$G25,$H25),1,3)</f>
        <v>0</v>
      </c>
      <c r="V25" s="29">
        <f>INDEX(kj($E25,$F25,$G25,$H25),1,1)</f>
        <v>0</v>
      </c>
      <c r="W25" s="29">
        <f>INDEX(kj($E25,$F25,$G25,$H25),1,2)</f>
        <v>0</v>
      </c>
      <c r="X25" s="29">
        <f>INDEX(kj($E25,$F25,$G25,$H25),1,6)</f>
        <v>0</v>
      </c>
      <c r="Y25" s="29">
        <f>INDEX(kj($E25,$F25,$G25,$H25),1,5)</f>
        <v>0</v>
      </c>
      <c r="Z25" s="29">
        <f>INDEX(kj($E25,$F25,$G25,$H25),1,4)</f>
        <v>0</v>
      </c>
      <c r="AA25" s="70" t="e">
        <f t="shared" si="27"/>
        <v>#DIV/0!</v>
      </c>
      <c r="AB25" s="70" t="e">
        <f t="shared" si="28"/>
        <v>#DIV/0!</v>
      </c>
      <c r="AC25" s="33" t="str">
        <f t="shared" si="29"/>
        <v/>
      </c>
    </row>
    <row r="26" spans="2:29" x14ac:dyDescent="0.35">
      <c r="B26" s="8"/>
      <c r="C26" s="9"/>
      <c r="D26" s="8"/>
      <c r="E26" s="8">
        <v>0</v>
      </c>
      <c r="F26" s="8">
        <v>0</v>
      </c>
      <c r="G26" s="8">
        <v>0</v>
      </c>
      <c r="H26" s="8">
        <v>0</v>
      </c>
      <c r="I26" s="10">
        <v>0</v>
      </c>
      <c r="J26" s="78" t="str">
        <f t="shared" si="16"/>
        <v/>
      </c>
      <c r="K26" s="29">
        <f t="shared" si="17"/>
        <v>0</v>
      </c>
      <c r="L26" s="79" t="e">
        <f t="shared" si="18"/>
        <v>#DIV/0!</v>
      </c>
      <c r="M26" s="79" t="e">
        <f t="shared" si="19"/>
        <v>#DIV/0!</v>
      </c>
      <c r="N26" s="80" t="e">
        <f t="shared" si="20"/>
        <v>#DIV/0!</v>
      </c>
      <c r="O26" s="81" t="e">
        <f t="shared" si="21"/>
        <v>#DIV/0!</v>
      </c>
      <c r="P26" s="80" t="e">
        <f t="shared" si="22"/>
        <v>#DIV/0!</v>
      </c>
      <c r="Q26" s="80" t="e">
        <f t="shared" si="23"/>
        <v>#DIV/0!</v>
      </c>
      <c r="R26" s="82" t="e">
        <f t="shared" si="24"/>
        <v>#DIV/0!</v>
      </c>
      <c r="S26" s="81" t="e">
        <f t="shared" si="25"/>
        <v>#DIV/0!</v>
      </c>
      <c r="T26" s="29" t="e">
        <f t="shared" si="26"/>
        <v>#DIV/0!</v>
      </c>
      <c r="U26" s="29">
        <f>INDEX(kj($E26,$F26,$G26,$H26),1,3)</f>
        <v>0</v>
      </c>
      <c r="V26" s="29">
        <f>INDEX(kj($E26,$F26,$G26,$H26),1,1)</f>
        <v>0</v>
      </c>
      <c r="W26" s="29">
        <f>INDEX(kj($E26,$F26,$G26,$H26),1,2)</f>
        <v>0</v>
      </c>
      <c r="X26" s="29">
        <f>INDEX(kj($E26,$F26,$G26,$H26),1,6)</f>
        <v>0</v>
      </c>
      <c r="Y26" s="29">
        <f>INDEX(kj($E26,$F26,$G26,$H26),1,5)</f>
        <v>0</v>
      </c>
      <c r="Z26" s="29">
        <f>INDEX(kj($E26,$F26,$G26,$H26),1,4)</f>
        <v>0</v>
      </c>
      <c r="AA26" s="70" t="e">
        <f t="shared" si="27"/>
        <v>#DIV/0!</v>
      </c>
      <c r="AB26" s="70" t="e">
        <f t="shared" si="28"/>
        <v>#DIV/0!</v>
      </c>
      <c r="AC26" s="33" t="str">
        <f t="shared" si="29"/>
        <v/>
      </c>
    </row>
    <row r="27" spans="2:29" x14ac:dyDescent="0.35">
      <c r="B27" s="8"/>
      <c r="C27" s="9"/>
      <c r="D27" s="8"/>
      <c r="E27" s="8">
        <v>0</v>
      </c>
      <c r="F27" s="8">
        <v>0</v>
      </c>
      <c r="G27" s="8">
        <v>0</v>
      </c>
      <c r="H27" s="8">
        <v>0</v>
      </c>
      <c r="I27" s="10">
        <v>0</v>
      </c>
      <c r="J27" s="78" t="str">
        <f t="shared" si="16"/>
        <v/>
      </c>
      <c r="K27" s="29">
        <f t="shared" si="17"/>
        <v>0</v>
      </c>
      <c r="L27" s="79" t="e">
        <f t="shared" si="18"/>
        <v>#DIV/0!</v>
      </c>
      <c r="M27" s="79" t="e">
        <f t="shared" si="19"/>
        <v>#DIV/0!</v>
      </c>
      <c r="N27" s="80" t="e">
        <f t="shared" si="20"/>
        <v>#DIV/0!</v>
      </c>
      <c r="O27" s="81" t="e">
        <f t="shared" si="21"/>
        <v>#DIV/0!</v>
      </c>
      <c r="P27" s="80" t="e">
        <f t="shared" si="22"/>
        <v>#DIV/0!</v>
      </c>
      <c r="Q27" s="80" t="e">
        <f t="shared" si="23"/>
        <v>#DIV/0!</v>
      </c>
      <c r="R27" s="82" t="e">
        <f t="shared" si="24"/>
        <v>#DIV/0!</v>
      </c>
      <c r="S27" s="81" t="e">
        <f t="shared" si="25"/>
        <v>#DIV/0!</v>
      </c>
      <c r="T27" s="29" t="e">
        <f t="shared" si="26"/>
        <v>#DIV/0!</v>
      </c>
      <c r="U27" s="29">
        <f>INDEX(kj($E27,$F27,$G27,$H27),1,3)</f>
        <v>0</v>
      </c>
      <c r="V27" s="29">
        <f>INDEX(kj($E27,$F27,$G27,$H27),1,1)</f>
        <v>0</v>
      </c>
      <c r="W27" s="29">
        <f>INDEX(kj($E27,$F27,$G27,$H27),1,2)</f>
        <v>0</v>
      </c>
      <c r="X27" s="29">
        <f>INDEX(kj($E27,$F27,$G27,$H27),1,6)</f>
        <v>0</v>
      </c>
      <c r="Y27" s="29">
        <f>INDEX(kj($E27,$F27,$G27,$H27),1,5)</f>
        <v>0</v>
      </c>
      <c r="Z27" s="29">
        <f>INDEX(kj($E27,$F27,$G27,$H27),1,4)</f>
        <v>0</v>
      </c>
      <c r="AA27" s="70" t="e">
        <f t="shared" si="27"/>
        <v>#DIV/0!</v>
      </c>
      <c r="AB27" s="70" t="e">
        <f t="shared" si="28"/>
        <v>#DIV/0!</v>
      </c>
      <c r="AC27" s="33" t="str">
        <f t="shared" si="29"/>
        <v/>
      </c>
    </row>
    <row r="28" spans="2:29" x14ac:dyDescent="0.35">
      <c r="B28" s="8"/>
      <c r="C28" s="9"/>
      <c r="D28" s="8"/>
      <c r="E28" s="8">
        <v>0</v>
      </c>
      <c r="F28" s="8">
        <v>0</v>
      </c>
      <c r="G28" s="8">
        <v>0</v>
      </c>
      <c r="H28" s="8">
        <v>0</v>
      </c>
      <c r="I28" s="10">
        <v>0</v>
      </c>
      <c r="J28" s="78" t="str">
        <f t="shared" si="16"/>
        <v/>
      </c>
      <c r="K28" s="29">
        <f t="shared" si="17"/>
        <v>0</v>
      </c>
      <c r="L28" s="79" t="e">
        <f t="shared" si="18"/>
        <v>#DIV/0!</v>
      </c>
      <c r="M28" s="79" t="e">
        <f t="shared" si="19"/>
        <v>#DIV/0!</v>
      </c>
      <c r="N28" s="80" t="e">
        <f t="shared" si="20"/>
        <v>#DIV/0!</v>
      </c>
      <c r="O28" s="81" t="e">
        <f t="shared" si="21"/>
        <v>#DIV/0!</v>
      </c>
      <c r="P28" s="80" t="e">
        <f t="shared" si="22"/>
        <v>#DIV/0!</v>
      </c>
      <c r="Q28" s="80" t="e">
        <f t="shared" si="23"/>
        <v>#DIV/0!</v>
      </c>
      <c r="R28" s="82" t="e">
        <f t="shared" si="24"/>
        <v>#DIV/0!</v>
      </c>
      <c r="S28" s="81" t="e">
        <f t="shared" si="25"/>
        <v>#DIV/0!</v>
      </c>
      <c r="T28" s="29" t="e">
        <f t="shared" si="26"/>
        <v>#DIV/0!</v>
      </c>
      <c r="U28" s="29">
        <f>INDEX(kj($E28,$F28,$G28,$H28),1,3)</f>
        <v>0</v>
      </c>
      <c r="V28" s="29">
        <f>INDEX(kj($E28,$F28,$G28,$H28),1,1)</f>
        <v>0</v>
      </c>
      <c r="W28" s="29">
        <f>INDEX(kj($E28,$F28,$G28,$H28),1,2)</f>
        <v>0</v>
      </c>
      <c r="X28" s="29">
        <f>INDEX(kj($E28,$F28,$G28,$H28),1,6)</f>
        <v>0</v>
      </c>
      <c r="Y28" s="29">
        <f>INDEX(kj($E28,$F28,$G28,$H28),1,5)</f>
        <v>0</v>
      </c>
      <c r="Z28" s="29">
        <f>INDEX(kj($E28,$F28,$G28,$H28),1,4)</f>
        <v>0</v>
      </c>
      <c r="AA28" s="70" t="e">
        <f t="shared" si="27"/>
        <v>#DIV/0!</v>
      </c>
      <c r="AB28" s="70" t="e">
        <f t="shared" si="28"/>
        <v>#DIV/0!</v>
      </c>
      <c r="AC28" s="33" t="str">
        <f t="shared" si="29"/>
        <v/>
      </c>
    </row>
    <row r="29" spans="2:29" x14ac:dyDescent="0.35">
      <c r="B29" s="8"/>
      <c r="C29" s="9"/>
      <c r="D29" s="8"/>
      <c r="E29" s="8">
        <v>0</v>
      </c>
      <c r="F29" s="8">
        <v>0</v>
      </c>
      <c r="G29" s="8">
        <v>0</v>
      </c>
      <c r="H29" s="8">
        <v>0</v>
      </c>
      <c r="I29" s="10">
        <v>0</v>
      </c>
      <c r="J29" s="78" t="str">
        <f t="shared" si="16"/>
        <v/>
      </c>
      <c r="K29" s="29">
        <f t="shared" si="17"/>
        <v>0</v>
      </c>
      <c r="L29" s="79" t="e">
        <f t="shared" si="18"/>
        <v>#DIV/0!</v>
      </c>
      <c r="M29" s="79" t="e">
        <f t="shared" si="19"/>
        <v>#DIV/0!</v>
      </c>
      <c r="N29" s="80" t="e">
        <f t="shared" si="20"/>
        <v>#DIV/0!</v>
      </c>
      <c r="O29" s="81" t="e">
        <f t="shared" si="21"/>
        <v>#DIV/0!</v>
      </c>
      <c r="P29" s="80" t="e">
        <f t="shared" si="22"/>
        <v>#DIV/0!</v>
      </c>
      <c r="Q29" s="80" t="e">
        <f t="shared" si="23"/>
        <v>#DIV/0!</v>
      </c>
      <c r="R29" s="82" t="e">
        <f t="shared" si="24"/>
        <v>#DIV/0!</v>
      </c>
      <c r="S29" s="81" t="e">
        <f t="shared" si="25"/>
        <v>#DIV/0!</v>
      </c>
      <c r="T29" s="29" t="e">
        <f t="shared" si="26"/>
        <v>#DIV/0!</v>
      </c>
      <c r="U29" s="29">
        <f>INDEX(kj($E29,$F29,$G29,$H29),1,3)</f>
        <v>0</v>
      </c>
      <c r="V29" s="29">
        <f>INDEX(kj($E29,$F29,$G29,$H29),1,1)</f>
        <v>0</v>
      </c>
      <c r="W29" s="29">
        <f>INDEX(kj($E29,$F29,$G29,$H29),1,2)</f>
        <v>0</v>
      </c>
      <c r="X29" s="29">
        <f>INDEX(kj($E29,$F29,$G29,$H29),1,6)</f>
        <v>0</v>
      </c>
      <c r="Y29" s="29">
        <f>INDEX(kj($E29,$F29,$G29,$H29),1,5)</f>
        <v>0</v>
      </c>
      <c r="Z29" s="29">
        <f>INDEX(kj($E29,$F29,$G29,$H29),1,4)</f>
        <v>0</v>
      </c>
      <c r="AA29" s="70" t="e">
        <f t="shared" si="27"/>
        <v>#DIV/0!</v>
      </c>
      <c r="AB29" s="70" t="e">
        <f t="shared" si="28"/>
        <v>#DIV/0!</v>
      </c>
      <c r="AC29" s="33" t="str">
        <f t="shared" si="29"/>
        <v/>
      </c>
    </row>
    <row r="30" spans="2:29" x14ac:dyDescent="0.35">
      <c r="B30" s="8"/>
      <c r="C30" s="9"/>
      <c r="D30" s="8"/>
      <c r="E30" s="8">
        <v>0</v>
      </c>
      <c r="F30" s="8">
        <v>0</v>
      </c>
      <c r="G30" s="8">
        <v>0</v>
      </c>
      <c r="H30" s="8">
        <v>0</v>
      </c>
      <c r="I30" s="10">
        <v>0</v>
      </c>
      <c r="J30" s="78" t="str">
        <f t="shared" si="16"/>
        <v/>
      </c>
      <c r="K30" s="29">
        <f t="shared" si="17"/>
        <v>0</v>
      </c>
      <c r="L30" s="79" t="e">
        <f t="shared" si="18"/>
        <v>#DIV/0!</v>
      </c>
      <c r="M30" s="79" t="e">
        <f t="shared" si="19"/>
        <v>#DIV/0!</v>
      </c>
      <c r="N30" s="80" t="e">
        <f t="shared" si="20"/>
        <v>#DIV/0!</v>
      </c>
      <c r="O30" s="81" t="e">
        <f t="shared" si="21"/>
        <v>#DIV/0!</v>
      </c>
      <c r="P30" s="80" t="e">
        <f t="shared" si="22"/>
        <v>#DIV/0!</v>
      </c>
      <c r="Q30" s="80" t="e">
        <f t="shared" si="23"/>
        <v>#DIV/0!</v>
      </c>
      <c r="R30" s="82" t="e">
        <f t="shared" si="24"/>
        <v>#DIV/0!</v>
      </c>
      <c r="S30" s="81" t="e">
        <f t="shared" si="25"/>
        <v>#DIV/0!</v>
      </c>
      <c r="T30" s="29" t="e">
        <f t="shared" si="26"/>
        <v>#DIV/0!</v>
      </c>
      <c r="U30" s="29">
        <f>INDEX(kj($E30,$F30,$G30,$H30),1,3)</f>
        <v>0</v>
      </c>
      <c r="V30" s="29">
        <f>INDEX(kj($E30,$F30,$G30,$H30),1,1)</f>
        <v>0</v>
      </c>
      <c r="W30" s="29">
        <f>INDEX(kj($E30,$F30,$G30,$H30),1,2)</f>
        <v>0</v>
      </c>
      <c r="X30" s="29">
        <f>INDEX(kj($E30,$F30,$G30,$H30),1,6)</f>
        <v>0</v>
      </c>
      <c r="Y30" s="29">
        <f>INDEX(kj($E30,$F30,$G30,$H30),1,5)</f>
        <v>0</v>
      </c>
      <c r="Z30" s="29">
        <f>INDEX(kj($E30,$F30,$G30,$H30),1,4)</f>
        <v>0</v>
      </c>
      <c r="AA30" s="70" t="e">
        <f t="shared" si="27"/>
        <v>#DIV/0!</v>
      </c>
      <c r="AB30" s="70" t="e">
        <f t="shared" si="28"/>
        <v>#DIV/0!</v>
      </c>
      <c r="AC30" s="33" t="str">
        <f t="shared" si="29"/>
        <v/>
      </c>
    </row>
    <row r="31" spans="2:29" x14ac:dyDescent="0.35">
      <c r="B31" s="8"/>
      <c r="C31" s="9"/>
      <c r="D31" s="8"/>
      <c r="E31" s="8">
        <v>0</v>
      </c>
      <c r="F31" s="8">
        <v>0</v>
      </c>
      <c r="G31" s="8">
        <v>0</v>
      </c>
      <c r="H31" s="8">
        <v>0</v>
      </c>
      <c r="I31" s="10">
        <v>0</v>
      </c>
      <c r="J31" s="78" t="str">
        <f t="shared" si="16"/>
        <v/>
      </c>
      <c r="K31" s="29">
        <f t="shared" si="17"/>
        <v>0</v>
      </c>
      <c r="L31" s="79" t="e">
        <f t="shared" si="18"/>
        <v>#DIV/0!</v>
      </c>
      <c r="M31" s="79" t="e">
        <f t="shared" si="19"/>
        <v>#DIV/0!</v>
      </c>
      <c r="N31" s="80" t="e">
        <f t="shared" si="20"/>
        <v>#DIV/0!</v>
      </c>
      <c r="O31" s="81" t="e">
        <f t="shared" si="21"/>
        <v>#DIV/0!</v>
      </c>
      <c r="P31" s="80" t="e">
        <f t="shared" si="22"/>
        <v>#DIV/0!</v>
      </c>
      <c r="Q31" s="80" t="e">
        <f t="shared" si="23"/>
        <v>#DIV/0!</v>
      </c>
      <c r="R31" s="82" t="e">
        <f t="shared" si="24"/>
        <v>#DIV/0!</v>
      </c>
      <c r="S31" s="81" t="e">
        <f t="shared" si="25"/>
        <v>#DIV/0!</v>
      </c>
      <c r="T31" s="29" t="e">
        <f t="shared" si="26"/>
        <v>#DIV/0!</v>
      </c>
      <c r="U31" s="29">
        <f>INDEX(kj($E31,$F31,$G31,$H31),1,3)</f>
        <v>0</v>
      </c>
      <c r="V31" s="29">
        <f>INDEX(kj($E31,$F31,$G31,$H31),1,1)</f>
        <v>0</v>
      </c>
      <c r="W31" s="29">
        <f>INDEX(kj($E31,$F31,$G31,$H31),1,2)</f>
        <v>0</v>
      </c>
      <c r="X31" s="29">
        <f>INDEX(kj($E31,$F31,$G31,$H31),1,6)</f>
        <v>0</v>
      </c>
      <c r="Y31" s="29">
        <f>INDEX(kj($E31,$F31,$G31,$H31),1,5)</f>
        <v>0</v>
      </c>
      <c r="Z31" s="29">
        <f>INDEX(kj($E31,$F31,$G31,$H31),1,4)</f>
        <v>0</v>
      </c>
      <c r="AA31" s="70" t="e">
        <f t="shared" si="27"/>
        <v>#DIV/0!</v>
      </c>
      <c r="AB31" s="70" t="e">
        <f t="shared" si="28"/>
        <v>#DIV/0!</v>
      </c>
      <c r="AC31" s="33" t="str">
        <f t="shared" si="29"/>
        <v/>
      </c>
    </row>
    <row r="32" spans="2:29" ht="17.5" customHeight="1" x14ac:dyDescent="0.35"/>
  </sheetData>
  <sheetProtection algorithmName="SHA-512" hashValue="ttRekuJ2Qouuqf0T8AHNzYLJAyuZ83y4xbm2+ZBC4hnrgmBMwrf5PwgwDc6m4MGliJWw1+2Y8Kidr1/Nm2VlRg==" saltValue="We3cc3GmTcz2m9iJXOPV1Q==" spinCount="100000" sheet="1" objects="1" scenarios="1"/>
  <mergeCells count="5">
    <mergeCell ref="P16:Q16"/>
    <mergeCell ref="P8:Q8"/>
    <mergeCell ref="B6:D6"/>
    <mergeCell ref="B3:D3"/>
    <mergeCell ref="B4:C4"/>
  </mergeCells>
  <conditionalFormatting sqref="I9:I31">
    <cfRule type="cellIs" dxfId="3" priority="6" operator="greaterThan">
      <formula>0.13</formula>
    </cfRule>
  </conditionalFormatting>
  <conditionalFormatting sqref="J9:AB15 J16:P16 R16:AB16 J17:AB31">
    <cfRule type="expression" dxfId="2" priority="7">
      <formula>$AC9&lt;&gt;1</formula>
    </cfRule>
  </conditionalFormatting>
  <conditionalFormatting sqref="O9:O31">
    <cfRule type="expression" dxfId="1" priority="2">
      <formula>$O9&lt;0</formula>
    </cfRule>
  </conditionalFormatting>
  <conditionalFormatting sqref="C16">
    <cfRule type="cellIs" dxfId="0" priority="1" operator="greaterThan">
      <formula>0.13</formula>
    </cfRule>
  </conditionalFormatting>
  <dataValidations count="5">
    <dataValidation type="decimal" operator="greaterThanOrEqual" allowBlank="1" showInputMessage="1" showErrorMessage="1" sqref="E9:H15 E17:H31">
      <formula1>0</formula1>
    </dataValidation>
    <dataValidation type="decimal" allowBlank="1" showInputMessage="1" showErrorMessage="1" sqref="C9:C15">
      <formula1>0.9</formula1>
      <formula2>2.1</formula2>
    </dataValidation>
    <dataValidation type="decimal" allowBlank="1" showInputMessage="1" showErrorMessage="1" sqref="D9:D15 D17:D31">
      <formula1>-2000</formula1>
      <formula2>2000</formula2>
    </dataValidation>
    <dataValidation type="decimal" allowBlank="1" showInputMessage="1" showErrorMessage="1" sqref="I17:I31">
      <formula1>0</formula1>
      <formula2>0.15</formula2>
    </dataValidation>
    <dataValidation type="decimal" allowBlank="1" showInputMessage="1" showErrorMessage="1" sqref="C17:C31">
      <formula1>1</formula1>
      <formula2>2.1</formula2>
    </dataValidation>
  </dataValidations>
  <hyperlinks>
    <hyperlink ref="E5" r:id="rId1" tooltip="Link to landing page via DOI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14"/>
  <sheetViews>
    <sheetView workbookViewId="0">
      <selection activeCell="H3" sqref="H3"/>
    </sheetView>
  </sheetViews>
  <sheetFormatPr baseColWidth="10" defaultColWidth="10.90625" defaultRowHeight="14.5" x14ac:dyDescent="0.35"/>
  <cols>
    <col min="1" max="9" width="10.90625" style="1"/>
    <col min="10" max="10" width="14.1796875" style="1" customWidth="1"/>
    <col min="11" max="11" width="10.90625" style="1"/>
    <col min="12" max="12" width="13" style="3" bestFit="1" customWidth="1"/>
    <col min="13" max="16384" width="10.90625" style="1"/>
  </cols>
  <sheetData>
    <row r="1" spans="1:14" ht="24.5" thickTop="1" thickBot="1" x14ac:dyDescent="0.6">
      <c r="A1" s="14" t="s">
        <v>34</v>
      </c>
      <c r="D1" s="13" t="s">
        <v>62</v>
      </c>
      <c r="M1" s="4" t="s">
        <v>54</v>
      </c>
    </row>
    <row r="2" spans="1:14" ht="15" thickTop="1" x14ac:dyDescent="0.35"/>
    <row r="3" spans="1:14" ht="15.5" x14ac:dyDescent="0.35">
      <c r="B3" s="4" t="s">
        <v>13</v>
      </c>
      <c r="D3" s="5" t="s">
        <v>21</v>
      </c>
      <c r="E3" s="5" t="s">
        <v>20</v>
      </c>
      <c r="L3" s="7" t="s">
        <v>13</v>
      </c>
      <c r="M3" s="5" t="s">
        <v>21</v>
      </c>
      <c r="N3" s="5" t="s">
        <v>20</v>
      </c>
    </row>
    <row r="4" spans="1:14" x14ac:dyDescent="0.35">
      <c r="B4" s="1">
        <v>1.2000000000000002</v>
      </c>
      <c r="D4" s="12">
        <v>6632.4470596210595</v>
      </c>
      <c r="E4" s="12">
        <v>145.07182273986066</v>
      </c>
      <c r="L4" s="3">
        <v>1.18</v>
      </c>
      <c r="M4" s="1">
        <v>6670</v>
      </c>
      <c r="N4" s="1">
        <v>155</v>
      </c>
    </row>
    <row r="5" spans="1:14" x14ac:dyDescent="0.35">
      <c r="B5" s="1">
        <v>1.3000000000000003</v>
      </c>
      <c r="D5" s="12">
        <v>6980.2362682959356</v>
      </c>
      <c r="E5" s="12">
        <v>171.65470797030821</v>
      </c>
      <c r="L5" s="3">
        <v>1.2</v>
      </c>
      <c r="M5" s="1">
        <v>6580</v>
      </c>
      <c r="N5" s="1">
        <v>160</v>
      </c>
    </row>
    <row r="6" spans="1:14" x14ac:dyDescent="0.35">
      <c r="B6" s="1">
        <v>1.4000000000000004</v>
      </c>
      <c r="D6" s="12">
        <v>7328.0254769708117</v>
      </c>
      <c r="E6" s="12">
        <v>201.13349360214315</v>
      </c>
      <c r="L6" s="3">
        <v>1.4</v>
      </c>
      <c r="M6" s="1">
        <v>7300</v>
      </c>
      <c r="N6" s="1">
        <v>210</v>
      </c>
    </row>
    <row r="7" spans="1:14" x14ac:dyDescent="0.35">
      <c r="B7" s="1">
        <v>1.5000000000000004</v>
      </c>
      <c r="D7" s="12">
        <v>7675.8146856456879</v>
      </c>
      <c r="E7" s="12">
        <v>233.64376962193259</v>
      </c>
      <c r="L7" s="3">
        <v>1.6</v>
      </c>
      <c r="M7" s="1">
        <v>7910</v>
      </c>
      <c r="N7" s="1">
        <v>280</v>
      </c>
    </row>
    <row r="8" spans="1:14" x14ac:dyDescent="0.35">
      <c r="B8" s="1">
        <v>1.6000000000000005</v>
      </c>
      <c r="D8" s="12">
        <v>8023.603894320564</v>
      </c>
      <c r="E8" s="12">
        <v>269.3196025202954</v>
      </c>
      <c r="L8" s="3">
        <v>1.72</v>
      </c>
      <c r="M8" s="1">
        <v>8480</v>
      </c>
    </row>
    <row r="9" spans="1:14" x14ac:dyDescent="0.35">
      <c r="B9" s="1">
        <v>1.7000000000000006</v>
      </c>
      <c r="D9" s="12">
        <v>8371.3931029954401</v>
      </c>
      <c r="E9" s="12">
        <v>308.29358989934587</v>
      </c>
      <c r="L9" s="3">
        <v>1.77</v>
      </c>
      <c r="M9" s="1">
        <v>8500</v>
      </c>
      <c r="N9" s="1">
        <v>323</v>
      </c>
    </row>
    <row r="10" spans="1:14" x14ac:dyDescent="0.35">
      <c r="B10" s="1">
        <v>1.8000000000000007</v>
      </c>
      <c r="D10" s="12">
        <v>8719.1823116703163</v>
      </c>
      <c r="E10" s="12">
        <v>350.69690962794772</v>
      </c>
      <c r="L10" s="3">
        <v>1.8</v>
      </c>
      <c r="N10" s="1">
        <v>361</v>
      </c>
    </row>
    <row r="11" spans="1:14" x14ac:dyDescent="0.35">
      <c r="B11" s="1">
        <v>1.9000000000000008</v>
      </c>
      <c r="D11" s="12">
        <v>9066.9715203451924</v>
      </c>
      <c r="E11" s="12">
        <v>396.65936477862743</v>
      </c>
      <c r="L11" s="3">
        <v>1.8120000000000001</v>
      </c>
      <c r="M11" s="1">
        <v>8780</v>
      </c>
    </row>
    <row r="12" spans="1:14" x14ac:dyDescent="0.35">
      <c r="L12" s="3">
        <v>1.875</v>
      </c>
      <c r="M12" s="1">
        <v>9050</v>
      </c>
    </row>
    <row r="13" spans="1:14" x14ac:dyDescent="0.35">
      <c r="L13" s="3">
        <v>1.89</v>
      </c>
      <c r="M13" s="1">
        <v>9100</v>
      </c>
      <c r="N13" s="1">
        <v>405</v>
      </c>
    </row>
    <row r="14" spans="1:14" x14ac:dyDescent="0.35">
      <c r="L14" s="3">
        <v>1.9</v>
      </c>
      <c r="M14" s="1">
        <v>9110</v>
      </c>
      <c r="N14" s="1">
        <v>393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LICENSE</vt:lpstr>
      <vt:lpstr>DEoS</vt:lpstr>
      <vt:lpstr>example_HMX</vt:lpstr>
    </vt:vector>
  </TitlesOfParts>
  <Manager>F.G.Bastante. Cintecx. Universidad de Vigo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TW_Model</dc:title>
  <dc:creator>usuario</dc:creator>
  <cp:lastModifiedBy>usuario</cp:lastModifiedBy>
  <dcterms:created xsi:type="dcterms:W3CDTF">2021-11-30T13:37:49Z</dcterms:created>
  <dcterms:modified xsi:type="dcterms:W3CDTF">2022-04-05T07:02:20Z</dcterms:modified>
</cp:coreProperties>
</file>